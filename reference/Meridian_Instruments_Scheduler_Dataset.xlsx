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uting_Master" sheetId="2" state="visible" r:id="rId4"/>
    <sheet name="Line_TT" sheetId="3" state="visible" r:id="rId5"/>
    <sheet name="Line_PT" sheetId="4" state="visible" r:id="rId6"/>
    <sheet name="Line_DPT" sheetId="5" state="visible" r:id="rId7"/>
    <sheet name="Line_LT" sheetId="6" state="visible" r:id="rId8"/>
    <sheet name="Line_Comparison" sheetId="7" state="visible" r:id="rId9"/>
    <sheet name="Resources" sheetId="8" state="visible" r:id="rId10"/>
    <sheet name="Capacity" sheetId="9" state="visible" r:id="rId11"/>
    <sheet name="Efficiency_Markers" sheetId="10" state="visible" r:id="rId12"/>
    <sheet name="Calendar" sheetId="11" state="visible" r:id="rId13"/>
    <sheet name="Orders" sheetId="12" state="visible" r:id="rId14"/>
    <sheet name="Disruption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<sst xmlns="http://schemas.openxmlformats.org/spreadsheetml/2006/main" count="821" uniqueCount="440">
  <si>
    <t xml:space="preserve">MERIDIAN INSTRUMENTS PVT. LTD.</t>
  </si>
  <si>
    <t xml:space="preserve">Transmitter Production Scheduler — Master Dataset (dummy company, sample data)</t>
  </si>
  <si>
    <t xml:space="preserve">A complete, buildable dataset for the AI scheduling agent. All figures are realistic but invented — swap</t>
  </si>
  <si>
    <t xml:space="preserve">in the client's real numbers later. Yellow cells are meant to be edited by the plant when onboarding.</t>
  </si>
  <si>
    <t xml:space="preserve">The plant at a glance</t>
  </si>
  <si>
    <t xml:space="preserve">•  Meridian Instruments Pvt. Ltd. — mid-size instrumentation maker, 4 product lines, THREE shifts (24h, Mon–Sat).</t>
  </si>
  <si>
    <t xml:space="preserve">•  Product lines: Temperature (TT), Pressure (PT), Differential Pressure (DPT), Level (LT).</t>
  </si>
  <si>
    <t xml:space="preserve">•  Order volume mix: PRESSURE = highest order count/month · LEVEL = lowest · DP &amp; Temperature = average.</t>
  </si>
  <si>
    <t xml:space="preserve">•  15-stage order-to-ship routing; burn-in + calibration + helium-leak are the plant bottlenecks.</t>
  </si>
  <si>
    <t xml:space="preserve">•  Lines share the admin/QC spine but differ in the middle: TT &amp; LT are DRY builds; PT &amp; DPT are WET (fill + leak tests).</t>
  </si>
  <si>
    <t xml:space="preserve">•  ~99 direct production heads across 3 shifts; order entry, packing and dispatch staffed day-weighted.</t>
  </si>
  <si>
    <t xml:space="preserve">What each tab contains</t>
  </si>
  <si>
    <t xml:space="preserve">Routing_Master  —  Shared spine + line-specific stages. 'Applies to' shows which lines run each stage.</t>
  </si>
  <si>
    <t xml:space="preserve">Line_TT / PT / DPT / LT  —  Each line's OWN stage list — dry vs wet builds differ, with per-unit time &amp; manpower.</t>
  </si>
  <si>
    <t xml:space="preserve">Line_Comparison  —  Side-by-side per-unit time &amp; headcount for all 4 lines, plus per-line capacity and monthly order mix.</t>
  </si>
  <si>
    <t xml:space="preserve">Resources  —  Every work-centre, parallel quantity, shift, bottleneck flag, and the failure-logging rules.</t>
  </si>
  <si>
    <t xml:space="preserve">Capacity  —  Full 24-hr and single-shift capacity per line and plant total, driven by the bottleneck.</t>
  </si>
  <si>
    <t xml:space="preserve">Efficiency_Markers  —  Every marker to measure line &amp; order-to-delivery efficiency; world-class ceiling and acceptable floor.</t>
  </si>
  <si>
    <t xml:space="preserve">Calendar  —  Shift pattern and working-time conversion used by the scheduling engine.</t>
  </si>
  <si>
    <t xml:space="preserve">Orders  —  30 live sample orders across the four lines, sized for three-shift monthly volume.</t>
  </si>
  <si>
    <t xml:space="preserve">Disruptions  —  7 what-if scenarios (breakdown, stockout, rush order, labour loss…) for the reschedule demo.</t>
  </si>
  <si>
    <t xml:space="preserve">Note on manpower figures: each station lists both the number of operators required and the active minutes those operators spend per unit. Where a resource runs unattended (e.g. burn-in chamber), manpower is fractional (load/unload + monitoring only).</t>
  </si>
  <si>
    <t xml:space="preserve">ROUTING MASTER — shared spine + line-specific stages · 'Applies to' shows which lines run each stage</t>
  </si>
  <si>
    <t xml:space="preserve">Stage ID</t>
  </si>
  <si>
    <t xml:space="preserve">Stage name</t>
  </si>
  <si>
    <t xml:space="preserve">Predecessor(s)</t>
  </si>
  <si>
    <t xml:space="preserve">Setup (min)</t>
  </si>
  <si>
    <t xml:space="preserve">Per-unit (min)</t>
  </si>
  <si>
    <t xml:space="preserve">Operators (#)</t>
  </si>
  <si>
    <t xml:space="preserve">Active min/operator/unit</t>
  </si>
  <si>
    <t xml:space="preserve">Applies to</t>
  </si>
  <si>
    <t xml:space="preserve">Time basis</t>
  </si>
  <si>
    <t xml:space="preserve">Resource used</t>
  </si>
  <si>
    <t xml:space="preserve">Bottleneck?</t>
  </si>
  <si>
    <t xml:space="preserve">Notes</t>
  </si>
  <si>
    <t xml:space="preserve">01</t>
  </si>
  <si>
    <t xml:space="preserve">Order Entry &amp; Contract Review</t>
  </si>
  <si>
    <t xml:space="preserve">—</t>
  </si>
  <si>
    <t xml:space="preserve">ALL</t>
  </si>
  <si>
    <t xml:space="preserve">working</t>
  </si>
  <si>
    <t xml:space="preserve">Front Office</t>
  </si>
  <si>
    <t xml:space="preserve">Order-level admin, not per-unit</t>
  </si>
  <si>
    <t xml:space="preserve">02</t>
  </si>
  <si>
    <t xml:space="preserve">Order Engineering / Configuration</t>
  </si>
  <si>
    <t xml:space="preserve">Engineering</t>
  </si>
  <si>
    <t xml:space="preserve">Model code, datasheet, tag list</t>
  </si>
  <si>
    <t xml:space="preserve">03</t>
  </si>
  <si>
    <t xml:space="preserve">Production Planning (MRP/ERP)</t>
  </si>
  <si>
    <t xml:space="preserve">Planning</t>
  </si>
  <si>
    <t xml:space="preserve">Work order + BOM release</t>
  </si>
  <si>
    <t xml:space="preserve">04</t>
  </si>
  <si>
    <t xml:space="preserve">Procurement &amp; Inbound Inspection</t>
  </si>
  <si>
    <t xml:space="preserve">Incoming QC</t>
  </si>
  <si>
    <t xml:space="preserve">Assumes stock; long-lead flagged separately</t>
  </si>
  <si>
    <t xml:space="preserve">05</t>
  </si>
  <si>
    <t xml:space="preserve">Kitting &amp; Staging</t>
  </si>
  <si>
    <t xml:space="preserve">Kitting Station</t>
  </si>
  <si>
    <t xml:space="preserve">Pick &amp; stage per unit</t>
  </si>
  <si>
    <t xml:space="preserve">06a</t>
  </si>
  <si>
    <t xml:space="preserve">Sensor: RTD/TC element build</t>
  </si>
  <si>
    <t xml:space="preserve">TT</t>
  </si>
  <si>
    <t xml:space="preserve">Sensor Module Line</t>
  </si>
  <si>
    <t xml:space="preserve">Dry build — no fill, no diaphragm</t>
  </si>
  <si>
    <t xml:space="preserve">06b</t>
  </si>
  <si>
    <t xml:space="preserve">Sensor: single-chamber + diaphragm + oil fill</t>
  </si>
  <si>
    <t xml:space="preserve">PT</t>
  </si>
  <si>
    <t xml:space="preserve">Wet build — one diaphragm, vacuum fill</t>
  </si>
  <si>
    <t xml:space="preserve">06c</t>
  </si>
  <si>
    <t xml:space="preserve">Sensor: twin-chamber + dual diaphragm + oil fill</t>
  </si>
  <si>
    <t xml:space="preserve">DPT</t>
  </si>
  <si>
    <t xml:space="preserve">Heaviest wet build — dual fill under vacuum</t>
  </si>
  <si>
    <t xml:space="preserve">06d</t>
  </si>
  <si>
    <t xml:space="preserve">Sensor: radar probe / antenna assembly</t>
  </si>
  <si>
    <t xml:space="preserve">LT</t>
  </si>
  <si>
    <t xml:space="preserve">Dry build — probe + antenna, no fill</t>
  </si>
  <si>
    <t xml:space="preserve">06H</t>
  </si>
  <si>
    <t xml:space="preserve">  └ Helium Leak Test</t>
  </si>
  <si>
    <t xml:space="preserve">06b, 06c</t>
  </si>
  <si>
    <t xml:space="preserve">PT, DPT</t>
  </si>
  <si>
    <t xml:space="preserve">Helium Leak Rig</t>
  </si>
  <si>
    <t xml:space="preserve">YES</t>
  </si>
  <si>
    <t xml:space="preserve">Wet builds only; critical for DPT</t>
  </si>
  <si>
    <t xml:space="preserve">07</t>
  </si>
  <si>
    <t xml:space="preserve">Electronics Assembly</t>
  </si>
  <si>
    <t xml:space="preserve">SMT Line</t>
  </si>
  <si>
    <t xml:space="preserve">Runs parallel to sensor build</t>
  </si>
  <si>
    <t xml:space="preserve">08</t>
  </si>
  <si>
    <t xml:space="preserve">Final Assembly &amp; Serialization</t>
  </si>
  <si>
    <t xml:space="preserve">06*, 07</t>
  </si>
  <si>
    <t xml:space="preserve">Final Assembly</t>
  </si>
  <si>
    <t xml:space="preserve">Merge sensor + electronics</t>
  </si>
  <si>
    <t xml:space="preserve">09</t>
  </si>
  <si>
    <t xml:space="preserve">Calibration</t>
  </si>
  <si>
    <t xml:space="preserve">Calibration Bench</t>
  </si>
  <si>
    <t xml:space="preserve">3 benches — cycle varies 28–55 min by line</t>
  </si>
  <si>
    <t xml:space="preserve">09B</t>
  </si>
  <si>
    <t xml:space="preserve">  └ Burn-in</t>
  </si>
  <si>
    <t xml:space="preserve">wall-clock</t>
  </si>
  <si>
    <t xml:space="preserve">Burn-in Chamber</t>
  </si>
  <si>
    <t xml:space="preserve">24–60 h unattended; op = load/unload only</t>
  </si>
  <si>
    <t xml:space="preserve">09T</t>
  </si>
  <si>
    <t xml:space="preserve">  └ Hydro / Proof-Pressure Test</t>
  </si>
  <si>
    <t xml:space="preserve">Test Station</t>
  </si>
  <si>
    <t xml:space="preserve">Pressure-bearing lines only</t>
  </si>
  <si>
    <t xml:space="preserve">09R</t>
  </si>
  <si>
    <t xml:space="preserve">Rework / NCR Loop (optional)</t>
  </si>
  <si>
    <t xml:space="preserve">09T/09B</t>
  </si>
  <si>
    <t xml:space="preserve">Rework Cell</t>
  </si>
  <si>
    <t xml:space="preserve">Only for units that fail test</t>
  </si>
  <si>
    <t xml:space="preserve">10</t>
  </si>
  <si>
    <t xml:space="preserve">Special Certification Checks</t>
  </si>
  <si>
    <t xml:space="preserve">09*</t>
  </si>
  <si>
    <t xml:space="preserve">Cert Bay</t>
  </si>
  <si>
    <t xml:space="preserve">NACE/SIL/ATEX where applicable</t>
  </si>
  <si>
    <t xml:space="preserve">11</t>
  </si>
  <si>
    <t xml:space="preserve">Final QC Inspection</t>
  </si>
  <si>
    <t xml:space="preserve">Final QC</t>
  </si>
  <si>
    <t xml:space="preserve">CoC &amp; release</t>
  </si>
  <si>
    <t xml:space="preserve">12</t>
  </si>
  <si>
    <t xml:space="preserve">Documentation Package</t>
  </si>
  <si>
    <t xml:space="preserve">Documentation</t>
  </si>
  <si>
    <t xml:space="preserve">Dossier compile</t>
  </si>
  <si>
    <t xml:space="preserve">13</t>
  </si>
  <si>
    <t xml:space="preserve">Packing</t>
  </si>
  <si>
    <t xml:space="preserve">Pack &amp; inspect</t>
  </si>
  <si>
    <t xml:space="preserve">14</t>
  </si>
  <si>
    <t xml:space="preserve">Shipping &amp; Dispatch</t>
  </si>
  <si>
    <t xml:space="preserve">Dispatch</t>
  </si>
  <si>
    <t xml:space="preserve">Shipping docs, order-level</t>
  </si>
  <si>
    <t xml:space="preserve">15</t>
  </si>
  <si>
    <t xml:space="preserve">Order Closure</t>
  </si>
  <si>
    <t xml:space="preserve">Invoicing &amp; SO closure</t>
  </si>
  <si>
    <t xml:space="preserve">Shared spine = stages marked ALL (front-end admin, electronics, calibration, burn-in, QC, docs, dispatch). Line-specific = the sensor build (06a–06d) and the wet-line tests: TT and LT are DRY builds (no fill, no helium leak, no hydro); PT is single-chamber wet; DPT is twin-chamber wet with critical helium leak. The scheduler runs only the rows whose 'Applies to' matches the order's line. Red rows = bottlenecks; blue 'Applies to' = line-specific stage.</t>
  </si>
  <si>
    <t xml:space="preserve">Temperature Transmitter  (TT)  —  AVG volume</t>
  </si>
  <si>
    <t xml:space="preserve">DRY build — RTD/TC element, no fill fluid, no helium leak, no hydro. Shortest cycle.</t>
  </si>
  <si>
    <t xml:space="preserve">  └ Burn-in (24 h)</t>
  </si>
  <si>
    <t xml:space="preserve">Special Certification</t>
  </si>
  <si>
    <t xml:space="preserve">Sum of active per-unit min (excl. burn-in wall-clock):</t>
  </si>
  <si>
    <t xml:space="preserve">Skipped vs wet lines: 06H Helium Leak and 09T Hydro/Proof-Pressure — a temperature element is sealed and dry.</t>
  </si>
  <si>
    <t xml:space="preserve">Shared order-level stages (01–04 entry/eng/planning/procurement, 14 dispatch, 15 closure) are identical across all lines and not repeated here. Burn-in is unattended wall-clock time — no floor operator beyond load/unload.</t>
  </si>
  <si>
    <t xml:space="preserve">Pressure Transmitter  (PT)  —  MAX orders/month</t>
  </si>
  <si>
    <t xml:space="preserve">WET build — single diaphragm + oil fill, helium leak + proof-pressure test. HIGHEST volume.</t>
  </si>
  <si>
    <t xml:space="preserve">  └ Burn-in (48 h)</t>
  </si>
  <si>
    <t xml:space="preserve">Runs the full wet path: helium leak + proof-pressure test. Single chamber, so lighter than DPT.</t>
  </si>
  <si>
    <t xml:space="preserve">Differential Pressure Transmitter  (DPT)  —  AVG volume</t>
  </si>
  <si>
    <t xml:space="preserve">WET build — twin chamber, dual diaphragm, critical helium leak, longest calibration.</t>
  </si>
  <si>
    <t xml:space="preserve">  └ Helium Leak Test (critical)</t>
  </si>
  <si>
    <t xml:space="preserve">Runs the full wet path with the most demanding helium leak and the longest calibration of all four lines.</t>
  </si>
  <si>
    <t xml:space="preserve">Level Transmitter  (LT)  —  MIN orders/month</t>
  </si>
  <si>
    <t xml:space="preserve">DRY build — radar probe/antenna, no fill, no helium leak. LOWEST volume, heaviest handling.</t>
  </si>
  <si>
    <t xml:space="preserve">  └ Burn-in (60 h)</t>
  </si>
  <si>
    <t xml:space="preserve">Skipped vs wet lines: 06H Helium Leak and 09T Hydro — a radar level probe has no oil fill or pressure chamber.</t>
  </si>
  <si>
    <t xml:space="preserve">LINE COMPARISON — per-unit time, manpower &amp; monthly order mix</t>
  </si>
  <si>
    <t xml:space="preserve">Metric</t>
  </si>
  <si>
    <t xml:space="preserve">Temperature (TT)</t>
  </si>
  <si>
    <t xml:space="preserve">Pressure (PT)</t>
  </si>
  <si>
    <t xml:space="preserve">Diff. Pressure (DPT)</t>
  </si>
  <si>
    <t xml:space="preserve">Level (LT)</t>
  </si>
  <si>
    <t xml:space="preserve">Build type</t>
  </si>
  <si>
    <t xml:space="preserve">DRY (dry element)</t>
  </si>
  <si>
    <t xml:space="preserve">WET (single chamber)</t>
  </si>
  <si>
    <t xml:space="preserve">WET (twin chamber)</t>
  </si>
  <si>
    <t xml:space="preserve">DRY (radar probe)</t>
  </si>
  <si>
    <t xml:space="preserve">Determines wet-line tests</t>
  </si>
  <si>
    <t xml:space="preserve">Manufacturing stages run (excl. shared spine)</t>
  </si>
  <si>
    <t xml:space="preserve">Wet lines run more stages</t>
  </si>
  <si>
    <t xml:space="preserve">Helium leak test?</t>
  </si>
  <si>
    <t xml:space="preserve">No</t>
  </si>
  <si>
    <t xml:space="preserve">Yes</t>
  </si>
  <si>
    <t xml:space="preserve">Yes (critical)</t>
  </si>
  <si>
    <t xml:space="preserve">Wet builds only</t>
  </si>
  <si>
    <t xml:space="preserve">Hydro / proof-pressure test?</t>
  </si>
  <si>
    <t xml:space="preserve">Bottleneck cycle time — Calibration (min/unit)</t>
  </si>
  <si>
    <t xml:space="preserve">Gates line throughput</t>
  </si>
  <si>
    <t xml:space="preserve">Burn-in dwell (hrs, wall-clock)</t>
  </si>
  <si>
    <t xml:space="preserve">Unattended; overlaps other work</t>
  </si>
  <si>
    <t xml:space="preserve">Total active labour (min/unit, excl. burn-in)</t>
  </si>
  <si>
    <t xml:space="preserve">Sum of manned stages</t>
  </si>
  <si>
    <t xml:space="preserve">Peak operators on line (concurrent)</t>
  </si>
  <si>
    <t xml:space="preserve">At sensor/final-assembly stations</t>
  </si>
  <si>
    <t xml:space="preserve">Monthly order VOLUME rank</t>
  </si>
  <si>
    <t xml:space="preserve">Average</t>
  </si>
  <si>
    <t xml:space="preserve">HIGHEST</t>
  </si>
  <si>
    <t xml:space="preserve">LOWEST</t>
  </si>
  <si>
    <t xml:space="preserve">Client-specified mix</t>
  </si>
  <si>
    <t xml:space="preserve">Typical orders / month (sample)</t>
  </si>
  <si>
    <t xml:space="preserve">Editable — see Capacity tab</t>
  </si>
  <si>
    <t xml:space="preserve">Typical units / order</t>
  </si>
  <si>
    <t xml:space="preserve">Blended average</t>
  </si>
  <si>
    <t xml:space="preserve">PRESSURE (PT) carries the maximum orders per month; LEVEL (LT) the minimum; Temperature and DP sit at average volume. Cycle time rises TT → PT → DPT → LT as the build gets heavier and burn-in longer.</t>
  </si>
  <si>
    <t xml:space="preserve">RESOURCES — work-centres, parallel capacity &amp; failure-logging rules</t>
  </si>
  <si>
    <t xml:space="preserve">Resource name</t>
  </si>
  <si>
    <t xml:space="preserve">Type</t>
  </si>
  <si>
    <t xml:space="preserve">Qty (parallel)</t>
  </si>
  <si>
    <t xml:space="preserve">Capacity note</t>
  </si>
  <si>
    <t xml:space="preserve">Failure-log rule</t>
  </si>
  <si>
    <t xml:space="preserve">Admin desk</t>
  </si>
  <si>
    <t xml:space="preserve">Order entry &amp; closure</t>
  </si>
  <si>
    <t xml:space="preserve">Desk</t>
  </si>
  <si>
    <t xml:space="preserve">Configuration &amp; datasheets</t>
  </si>
  <si>
    <t xml:space="preserve">Check config &amp; datasheet match the PO; log any mismatch.</t>
  </si>
  <si>
    <t xml:space="preserve">MRP / work order release</t>
  </si>
  <si>
    <t xml:space="preserve">Before PO to vendors, prompt user to confirm SO matches PO — manual confirm required.</t>
  </si>
  <si>
    <t xml:space="preserve">Inspection bay</t>
  </si>
  <si>
    <t xml:space="preserve">Inbound inspection</t>
  </si>
  <si>
    <t xml:space="preserve">Log vendor delays/wrong material; if a vendor exceeds X errors in X months, prompt before proceeding.</t>
  </si>
  <si>
    <t xml:space="preserve">Station</t>
  </si>
  <si>
    <t xml:space="preserve">Pick &amp; stage</t>
  </si>
  <si>
    <t xml:space="preserve">Assembly line</t>
  </si>
  <si>
    <t xml:space="preserve">Weld, fill, in-process</t>
  </si>
  <si>
    <t xml:space="preserve">Test rig</t>
  </si>
  <si>
    <t xml:space="preserve">Single rig — sensor-line bottleneck</t>
  </si>
  <si>
    <t xml:space="preserve">Electronics + board test</t>
  </si>
  <si>
    <t xml:space="preserve">Test bench</t>
  </si>
  <si>
    <t xml:space="preserve">3 benches, ~40 min/unit — pinch point</t>
  </si>
  <si>
    <t xml:space="preserve">Chamber</t>
  </si>
  <si>
    <t xml:space="preserve">2 chambers, 48 h each — main bottleneck</t>
  </si>
  <si>
    <t xml:space="preserve">Test station</t>
  </si>
  <si>
    <t xml:space="preserve">Hydro / Hi-Pot</t>
  </si>
  <si>
    <t xml:space="preserve">Handles NCR / rework only</t>
  </si>
  <si>
    <t xml:space="preserve">Special certifications</t>
  </si>
  <si>
    <t xml:space="preserve">Log wrong qty/model. If a unit is pulled from another order, only the tag plate is reprinted — capture manpower, bench space and print time.</t>
  </si>
  <si>
    <t xml:space="preserve">Shipping docs</t>
  </si>
  <si>
    <t xml:space="preserve">CAPACITY — per line &amp; plant total (3-shift, bottleneck-driven)</t>
  </si>
  <si>
    <t xml:space="preserve">Capacity is set by the calibration bench (the manned pinch point). Yellow cells are editable inputs.</t>
  </si>
  <si>
    <t xml:space="preserve">Product line</t>
  </si>
  <si>
    <t xml:space="preserve">Cal cycle (min/unit)</t>
  </si>
  <si>
    <t xml:space="preserve">Cal benches</t>
  </si>
  <si>
    <t xml:space="preserve">Effective mins/shift</t>
  </si>
  <si>
    <t xml:space="preserve">Units / shift (8h)</t>
  </si>
  <si>
    <t xml:space="preserve">Units / day (3 shifts, 22h)</t>
  </si>
  <si>
    <t xml:space="preserve">Working days/mo</t>
  </si>
  <si>
    <t xml:space="preserve">Units / month (theoretical)</t>
  </si>
  <si>
    <t xml:space="preserve">Realistic units/mo (−18%)</t>
  </si>
  <si>
    <t xml:space="preserve">PLANT TOTAL (theoretical, all lines)</t>
  </si>
  <si>
    <t xml:space="preserve">Three-shift (24h) operation. Theoretical total assumes all lines run flat-out simultaneously. Shared burn-in chambers and final cert reduce realistic blended output ~18% — see the last column. Use the realistic figure when committing delivery dates.</t>
  </si>
  <si>
    <t xml:space="preserve">EFFICIENCY MARKERS — line &amp; order-to-delivery</t>
  </si>
  <si>
    <t xml:space="preserve">Stage / Area</t>
  </si>
  <si>
    <t xml:space="preserve">Marker</t>
  </si>
  <si>
    <t xml:space="preserve">Formula / definition</t>
  </si>
  <si>
    <t xml:space="preserve">World-class ceiling</t>
  </si>
  <si>
    <t xml:space="preserve">Strong target</t>
  </si>
  <si>
    <t xml:space="preserve">Acceptable floor</t>
  </si>
  <si>
    <t xml:space="preserve">Order entry</t>
  </si>
  <si>
    <t xml:space="preserve">Order entry accuracy</t>
  </si>
  <si>
    <t xml:space="preserve">Error-free orders ÷ total orders</t>
  </si>
  <si>
    <t xml:space="preserve">99%</t>
  </si>
  <si>
    <t xml:space="preserve">98%</t>
  </si>
  <si>
    <t xml:space="preserve">96%</t>
  </si>
  <si>
    <t xml:space="preserve">Order-to-schedule lead time</t>
  </si>
  <si>
    <t xml:space="preserve">Hrs from confirmed order to slotted plan</t>
  </si>
  <si>
    <t xml:space="preserve">&lt;2 h</t>
  </si>
  <si>
    <t xml:space="preserve">&lt;8 h</t>
  </si>
  <si>
    <t xml:space="preserve">&lt;24 h</t>
  </si>
  <si>
    <t xml:space="preserve">Schedule adherence</t>
  </si>
  <si>
    <t xml:space="preserve">Orders run as planned ÷ total (no re-plan)</t>
  </si>
  <si>
    <t xml:space="preserve">92%</t>
  </si>
  <si>
    <t xml:space="preserve">85%</t>
  </si>
  <si>
    <t xml:space="preserve">Production line</t>
  </si>
  <si>
    <t xml:space="preserve">OEE (master metric)</t>
  </si>
  <si>
    <t xml:space="preserve">Availability × Performance × Quality</t>
  </si>
  <si>
    <t xml:space="preserve">75–80%</t>
  </si>
  <si>
    <t xml:space="preserve">60–65%</t>
  </si>
  <si>
    <t xml:space="preserve">  └ Availability</t>
  </si>
  <si>
    <t xml:space="preserve">Actual run time ÷ planned time</t>
  </si>
  <si>
    <t xml:space="preserve">90%</t>
  </si>
  <si>
    <t xml:space="preserve">75%</t>
  </si>
  <si>
    <t xml:space="preserve">  └ Performance</t>
  </si>
  <si>
    <t xml:space="preserve">Actual output ÷ rated capacity</t>
  </si>
  <si>
    <t xml:space="preserve">95%</t>
  </si>
  <si>
    <t xml:space="preserve">80%</t>
  </si>
  <si>
    <t xml:space="preserve">  └ Quality (FPY)</t>
  </si>
  <si>
    <t xml:space="preserve">Good units first pass ÷ total started</t>
  </si>
  <si>
    <t xml:space="preserve">96–97%</t>
  </si>
  <si>
    <t xml:space="preserve">94%</t>
  </si>
  <si>
    <t xml:space="preserve">Bottleneck utilization</t>
  </si>
  <si>
    <t xml:space="preserve">Busy time ÷ available time (cal+burn-in)</t>
  </si>
  <si>
    <t xml:space="preserve">80–85%</t>
  </si>
  <si>
    <t xml:space="preserve">70%</t>
  </si>
  <si>
    <t xml:space="preserve">Labour productivity</t>
  </si>
  <si>
    <t xml:space="preserve">Standard hrs earned ÷ actual hrs worked</t>
  </si>
  <si>
    <t xml:space="preserve">Flow efficiency</t>
  </si>
  <si>
    <t xml:space="preserve">Value-add time ÷ total lead time</t>
  </si>
  <si>
    <t xml:space="preserve">40%</t>
  </si>
  <si>
    <t xml:space="preserve">25%</t>
  </si>
  <si>
    <t xml:space="preserve">15%</t>
  </si>
  <si>
    <t xml:space="preserve">Quality</t>
  </si>
  <si>
    <t xml:space="preserve">Rework rate</t>
  </si>
  <si>
    <t xml:space="preserve">Units reworked ÷ units produced</t>
  </si>
  <si>
    <t xml:space="preserve">&lt;1%</t>
  </si>
  <si>
    <t xml:space="preserve">3–5%</t>
  </si>
  <si>
    <t xml:space="preserve">&lt;6%</t>
  </si>
  <si>
    <t xml:space="preserve">Scrap rate</t>
  </si>
  <si>
    <t xml:space="preserve">Units scrapped ÷ units started</t>
  </si>
  <si>
    <t xml:space="preserve">&lt;0.5%</t>
  </si>
  <si>
    <t xml:space="preserve">&lt;1.5%</t>
  </si>
  <si>
    <t xml:space="preserve">&lt;3%</t>
  </si>
  <si>
    <t xml:space="preserve">Cost of poor quality</t>
  </si>
  <si>
    <t xml:space="preserve">(Rework+scrap+warranty) ÷ prod cost</t>
  </si>
  <si>
    <t xml:space="preserve">&lt;5%</t>
  </si>
  <si>
    <t xml:space="preserve">Packing/Dispatch</t>
  </si>
  <si>
    <t xml:space="preserve">Dispatch accuracy</t>
  </si>
  <si>
    <t xml:space="preserve">Right product/qty/docs ÷ shipments</t>
  </si>
  <si>
    <t xml:space="preserve">99.5%</t>
  </si>
  <si>
    <t xml:space="preserve">Delivery</t>
  </si>
  <si>
    <t xml:space="preserve">OTIF (master metric)</t>
  </si>
  <si>
    <t xml:space="preserve">On-time AND in-full ÷ total orders</t>
  </si>
  <si>
    <t xml:space="preserve">Order-to-delivery lead time</t>
  </si>
  <si>
    <t xml:space="preserve">Days from order to POD</t>
  </si>
  <si>
    <t xml:space="preserve">— (benchmark)</t>
  </si>
  <si>
    <t xml:space="preserve">≤ promised</t>
  </si>
  <si>
    <t xml:space="preserve">≤ promised+2d</t>
  </si>
  <si>
    <t xml:space="preserve">Composite</t>
  </si>
  <si>
    <t xml:space="preserve">Throughput efficiency</t>
  </si>
  <si>
    <t xml:space="preserve">Good units delivered on-time ÷ rated capacity</t>
  </si>
  <si>
    <t xml:space="preserve">82%</t>
  </si>
  <si>
    <t xml:space="preserve">72–80%</t>
  </si>
  <si>
    <t xml:space="preserve">65%</t>
  </si>
  <si>
    <t xml:space="preserve">Highest achievable efficiency: 85% OEE / 99% FPY / 98% OTIF is the practical world-class ceiling (100% is impossible — changeover, PM, calibration drift and burn-in dwell can't be zeroed). For an instrumentation shop with mandatory burn-in, a sustainable ceiling is ~80–82% OEE.</t>
  </si>
  <si>
    <t xml:space="preserve">Minimum acceptable without material balance-sheet impact: ~65% OEE / 94% FPY / 90% OTIF. Below this, expediting, overtime, swelling WIP and penalties start eroding margin. The 65–80% band is where a good scheduler earns its keep. Set the floor alarm at 65% OEE and the target band at 72–80%.</t>
  </si>
  <si>
    <t xml:space="preserve">CALENDAR — 3-shift pattern &amp; working-time conversion</t>
  </si>
  <si>
    <t xml:space="preserve">Shift name</t>
  </si>
  <si>
    <t xml:space="preserve">Start</t>
  </si>
  <si>
    <t xml:space="preserve">End</t>
  </si>
  <si>
    <t xml:space="preserve">Working days</t>
  </si>
  <si>
    <t xml:space="preserve">Shift-A</t>
  </si>
  <si>
    <t xml:space="preserve">06:00</t>
  </si>
  <si>
    <t xml:space="preserve">14:00</t>
  </si>
  <si>
    <t xml:space="preserve">Mon–Sat</t>
  </si>
  <si>
    <t xml:space="preserve">Morning shift; 30-min break excluded → 7.4 productive h</t>
  </si>
  <si>
    <t xml:space="preserve">Shift-B</t>
  </si>
  <si>
    <t xml:space="preserve">22:00</t>
  </si>
  <si>
    <t xml:space="preserve">Afternoon shift; 30-min break excluded → 7.4 productive h</t>
  </si>
  <si>
    <t xml:space="preserve">Shift-C</t>
  </si>
  <si>
    <t xml:space="preserve">Night shift; 30-min break excluded → 7.4 productive h</t>
  </si>
  <si>
    <t xml:space="preserve">Conversions used by the engine</t>
  </si>
  <si>
    <t xml:space="preserve">Shifts per day</t>
  </si>
  <si>
    <t xml:space="preserve">3</t>
  </si>
  <si>
    <t xml:space="preserve">Shift-A / B / C — continuous 24h cover</t>
  </si>
  <si>
    <t xml:space="preserve">Effective productive hrs/shift</t>
  </si>
  <si>
    <t xml:space="preserve">7.4</t>
  </si>
  <si>
    <t xml:space="preserve">480 min − 30 min break, × 92% availability</t>
  </si>
  <si>
    <t xml:space="preserve">Effective productive hrs/day</t>
  </si>
  <si>
    <t xml:space="preserve">22.2</t>
  </si>
  <si>
    <t xml:space="preserve">3 shifts × 7.4h</t>
  </si>
  <si>
    <t xml:space="preserve">Working days / month</t>
  </si>
  <si>
    <t xml:space="preserve">26</t>
  </si>
  <si>
    <t xml:space="preserve">Mon–Sat, ~4.3 weeks</t>
  </si>
  <si>
    <t xml:space="preserve">Burn-in basis</t>
  </si>
  <si>
    <t xml:space="preserve">Runs through nights &amp; weekends regardless of shift</t>
  </si>
  <si>
    <t xml:space="preserve">ORDERS — 30 live sample orders (Meridian Instruments, 3-shift month)</t>
  </si>
  <si>
    <t xml:space="preserve">SO number</t>
  </si>
  <si>
    <t xml:space="preserve">Product / model</t>
  </si>
  <si>
    <t xml:space="preserve">Qty</t>
  </si>
  <si>
    <t xml:space="preserve">Order date</t>
  </si>
  <si>
    <t xml:space="preserve">Promised date</t>
  </si>
  <si>
    <t xml:space="preserve">Priority (1-10)</t>
  </si>
  <si>
    <t xml:space="preserve">SO-1041</t>
  </si>
  <si>
    <t xml:space="preserve">DP-2051 series</t>
  </si>
  <si>
    <t xml:space="preserve">Differential Pressure</t>
  </si>
  <si>
    <t xml:space="preserve">ATEX Ex d</t>
  </si>
  <si>
    <t xml:space="preserve">SO-1042</t>
  </si>
  <si>
    <t xml:space="preserve">SIL2, witness inspection</t>
  </si>
  <si>
    <t xml:space="preserve">SO-1043</t>
  </si>
  <si>
    <t xml:space="preserve">Export — extra docs</t>
  </si>
  <si>
    <t xml:space="preserve">SO-1044</t>
  </si>
  <si>
    <t xml:space="preserve">VIP — SIL2, witness</t>
  </si>
  <si>
    <t xml:space="preserve">SO-1045</t>
  </si>
  <si>
    <t xml:space="preserve">PT-3051 series</t>
  </si>
  <si>
    <t xml:space="preserve">Pressure</t>
  </si>
  <si>
    <t xml:space="preserve">Standard</t>
  </si>
  <si>
    <t xml:space="preserve">SO-1046</t>
  </si>
  <si>
    <t xml:space="preserve">SO-1047</t>
  </si>
  <si>
    <t xml:space="preserve">Bulk — key account</t>
  </si>
  <si>
    <t xml:space="preserve">SO-1048</t>
  </si>
  <si>
    <t xml:space="preserve">SO-1049</t>
  </si>
  <si>
    <t xml:space="preserve">SO-1050</t>
  </si>
  <si>
    <t xml:space="preserve">SO-1051</t>
  </si>
  <si>
    <t xml:space="preserve">TT-644 series</t>
  </si>
  <si>
    <t xml:space="preserve">Temperature</t>
  </si>
  <si>
    <t xml:space="preserve">RTD</t>
  </si>
  <si>
    <t xml:space="preserve">SO-1052</t>
  </si>
  <si>
    <t xml:space="preserve">Thermocouple</t>
  </si>
  <si>
    <t xml:space="preserve">SO-1053</t>
  </si>
  <si>
    <t xml:space="preserve">SO-1054</t>
  </si>
  <si>
    <t xml:space="preserve">Ex ia</t>
  </si>
  <si>
    <t xml:space="preserve">SO-1055</t>
  </si>
  <si>
    <t xml:space="preserve">SO-1056</t>
  </si>
  <si>
    <t xml:space="preserve">LT-5400 series</t>
  </si>
  <si>
    <t xml:space="preserve">Level</t>
  </si>
  <si>
    <t xml:space="preserve">Guided radar</t>
  </si>
  <si>
    <t xml:space="preserve">SO-1057</t>
  </si>
  <si>
    <t xml:space="preserve">SO-1058</t>
  </si>
  <si>
    <t xml:space="preserve">SIL2</t>
  </si>
  <si>
    <t xml:space="preserve">SO-1059</t>
  </si>
  <si>
    <t xml:space="preserve">SO-1060</t>
  </si>
  <si>
    <t xml:space="preserve">SO-1061</t>
  </si>
  <si>
    <t xml:space="preserve">SO-1062</t>
  </si>
  <si>
    <t xml:space="preserve">SO-1063</t>
  </si>
  <si>
    <t xml:space="preserve">SO-1064</t>
  </si>
  <si>
    <t xml:space="preserve">SO-1065</t>
  </si>
  <si>
    <t xml:space="preserve">SO-1066</t>
  </si>
  <si>
    <t xml:space="preserve">SO-1067</t>
  </si>
  <si>
    <t xml:space="preserve">SO-1068</t>
  </si>
  <si>
    <t xml:space="preserve">SO-1069</t>
  </si>
  <si>
    <t xml:space="preserve">SO-1070</t>
  </si>
  <si>
    <t xml:space="preserve">DISRUPTION SCENARIOS — for the reschedule demo</t>
  </si>
  <si>
    <t xml:space="preserve">#</t>
  </si>
  <si>
    <t xml:space="preserve">Disruption type</t>
  </si>
  <si>
    <t xml:space="preserve">Plain-English input the planner types</t>
  </si>
  <si>
    <t xml:space="preserve">Structured effect on the model</t>
  </si>
  <si>
    <t xml:space="preserve">Expected demo outcome</t>
  </si>
  <si>
    <t xml:space="preserve">Machine breakdown</t>
  </si>
  <si>
    <t xml:space="preserve">Burn-in Chamber 2 is down for repair until the 24th.</t>
  </si>
  <si>
    <t xml:space="preserve">Burn-in capacity 2→1 for [now,24th].</t>
  </si>
  <si>
    <t xml:space="preserve">Burn-in queue doubles; low-priority orders slip 2-4 days, VIP protected.</t>
  </si>
  <si>
    <t xml:space="preserve">Material stockout</t>
  </si>
  <si>
    <t xml:space="preserve">SS316L diaphragm lot failed inbound; new lot lands on the 20th.</t>
  </si>
  <si>
    <t xml:space="preserve">Earliest-start on kitting (05) set to 20th for affected DP orders.</t>
  </si>
  <si>
    <t xml:space="preserve">Only diaphragm-dependent orders shift; rest of plan holds.</t>
  </si>
  <si>
    <t xml:space="preserve">Rush order insertion</t>
  </si>
  <si>
    <t xml:space="preserve">Squeeze in a new 15-unit SIL2 order, promised in 18 days, top priority.</t>
  </si>
  <si>
    <t xml:space="preserve">New order added, priority 10; solver re-optimizes queue.</t>
  </si>
  <si>
    <t xml:space="preserve">Rush slots ahead of routine work; two priority-3 orders give way.</t>
  </si>
  <si>
    <t xml:space="preserve">Labour / shift loss</t>
  </si>
  <si>
    <t xml:space="preserve">Half the calibration team is out sick tomorrow — one bench only.</t>
  </si>
  <si>
    <t xml:space="preserve">Calibration capacity 3→1 for one working day.</t>
  </si>
  <si>
    <t xml:space="preserve">Calibration backs up a day; downstream test/cert ripple ~1 day.</t>
  </si>
  <si>
    <t xml:space="preserve">Priority bump</t>
  </si>
  <si>
    <t xml:space="preserve">Customer escalates SO-1042 — needs it a week early.</t>
  </si>
  <si>
    <t xml:space="preserve">SO-1042 priority 7→10, promised date −7 days.</t>
  </si>
  <si>
    <t xml:space="preserve">Solver pulls it forward; lower-priority DP orders reschedule.</t>
  </si>
  <si>
    <t xml:space="preserve">Quality hold</t>
  </si>
  <si>
    <t xml:space="preserve">Batch of PT sensors failed hi-pot; hold pending re-test.</t>
  </si>
  <si>
    <t xml:space="preserve">Insert rework loop (09R) for affected units; +90 min/unit.</t>
  </si>
  <si>
    <t xml:space="preserve">Affected units loop back; delivery at risk flagged.</t>
  </si>
  <si>
    <t xml:space="preserve">Capacity boost</t>
  </si>
  <si>
    <t xml:space="preserve">Approve overtime Saturday to clear backlog.</t>
  </si>
  <si>
    <t xml:space="preserve">Add extra Shift-A working day this week.</t>
  </si>
  <si>
    <t xml:space="preserve">Backlog clears; OTIF recovers for slipping orders.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</si>
</sst>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Arial"/>
      <family val="0"/>
      <charset val="1"/>
    </font>
    <font>
      <b val="true"/>
      <sz val="11"/>
      <color rgb="FF3D5468"/>
      <name val="Arial"/>
      <family val="0"/>
      <charset val="1"/>
    </font>
    <font>
      <sz val="10"/>
      <color rgb="FF15222E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sz val="9"/>
      <color rgb="FF3D546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5222E"/>
      <name val="Arial"/>
      <family val="0"/>
      <charset val="1"/>
    </font>
    <font>
      <i val="true"/>
      <sz val="9"/>
      <color rgb="FF3D5468"/>
      <name val="Arial"/>
      <family val="0"/>
      <charset val="1"/>
    </font>
    <font>
      <b val="true"/>
      <i val="true"/>
      <sz val="9"/>
      <color rgb="FF1A527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5276"/>
        <bgColor rgb="FF3D5468"/>
      </patternFill>
    </fill>
    <fill>
      <patternFill patternType="solid">
        <fgColor rgb="FFEBF3FB"/>
        <bgColor rgb="FFE8F6EF"/>
      </patternFill>
    </fill>
    <fill>
      <patternFill patternType="solid">
        <fgColor rgb="FFFDECEA"/>
        <bgColor rgb="FFFEF9E7"/>
      </patternFill>
    </fill>
    <fill>
      <patternFill patternType="solid">
        <fgColor rgb="FFFEF9E7"/>
        <bgColor rgb="FFF4F6F7"/>
      </patternFill>
    </fill>
    <fill>
      <patternFill patternType="solid">
        <fgColor rgb="FFD5F5E3"/>
        <bgColor rgb="FFE8F6EF"/>
      </patternFill>
    </fill>
    <fill>
      <patternFill patternType="solid">
        <fgColor rgb="FFFADBD8"/>
        <bgColor rgb="FFFDECEA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D5F5E3"/>
      </patternFill>
    </fill>
    <fill>
      <patternFill patternType="solid">
        <fgColor rgb="FFE8F6EF"/>
        <bgColor rgb="FFEBF3FB"/>
      </patternFill>
    </fill>
    <fill>
      <patternFill patternType="solid">
        <fgColor rgb="FFF4F6F7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ED8"/>
      </left>
      <right style="thin">
        <color rgb="FFC3CED8"/>
      </right>
      <top style="thin">
        <color rgb="FFC3CED8"/>
      </top>
      <bottom style="thin">
        <color rgb="FFC3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ED8"/>
      <rgbColor rgb="FF808080"/>
      <rgbColor rgb="FF9999FF"/>
      <rgbColor rgb="FF993366"/>
      <rgbColor rgb="FFFEF9E7"/>
      <rgbColor rgb="FFE8F6E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F5E3"/>
      <rgbColor rgb="FFFDECEA"/>
      <rgbColor rgb="FFF4F6F7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D5468"/>
      <rgbColor rgb="FF1522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 t="s">
        <v>20</v>
      </c>
    </row>
    <row r="26" customFormat="false" ht="22.35" hidden="false" customHeight="false" outlineLevel="0" collapsed="false">
      <c r="B26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24" hidden="false" customHeight="true" outlineLevel="0" collapsed="false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35.05" hidden="false" customHeight="fals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</row>
    <row r="4" customFormat="false" ht="15" hidden="false" customHeight="false" outlineLevel="0" collapsed="false">
      <c r="A4" s="8" t="s">
        <v>35</v>
      </c>
      <c r="B4" s="9" t="s">
        <v>36</v>
      </c>
      <c r="C4" s="9" t="s">
        <v>37</v>
      </c>
      <c r="D4" s="8" t="n">
        <v>30</v>
      </c>
      <c r="E4" s="8" t="n">
        <v>0</v>
      </c>
      <c r="F4" s="8" t="n">
        <v>1</v>
      </c>
      <c r="G4" s="8" t="n">
        <v>30</v>
      </c>
      <c r="H4" s="8" t="s">
        <v>38</v>
      </c>
      <c r="I4" s="8" t="s">
        <v>39</v>
      </c>
      <c r="J4" s="9" t="s">
        <v>40</v>
      </c>
      <c r="K4" s="8"/>
      <c r="L4" s="9" t="s">
        <v>41</v>
      </c>
    </row>
    <row r="5" customFormat="false" ht="15" hidden="false" customHeight="false" outlineLevel="0" collapsed="false">
      <c r="A5" s="8" t="s">
        <v>42</v>
      </c>
      <c r="B5" s="9" t="s">
        <v>43</v>
      </c>
      <c r="C5" s="9" t="s">
        <v>35</v>
      </c>
      <c r="D5" s="8" t="n">
        <v>90</v>
      </c>
      <c r="E5" s="8" t="n">
        <v>0</v>
      </c>
      <c r="F5" s="8" t="n">
        <v>1</v>
      </c>
      <c r="G5" s="8" t="n">
        <v>90</v>
      </c>
      <c r="H5" s="8" t="s">
        <v>38</v>
      </c>
      <c r="I5" s="8" t="s">
        <v>39</v>
      </c>
      <c r="J5" s="9" t="s">
        <v>44</v>
      </c>
      <c r="K5" s="8"/>
      <c r="L5" s="9" t="s">
        <v>45</v>
      </c>
    </row>
    <row r="6" customFormat="false" ht="15" hidden="false" customHeight="false" outlineLevel="0" collapsed="false">
      <c r="A6" s="8" t="s">
        <v>46</v>
      </c>
      <c r="B6" s="9" t="s">
        <v>47</v>
      </c>
      <c r="C6" s="9" t="s">
        <v>42</v>
      </c>
      <c r="D6" s="8" t="n">
        <v>45</v>
      </c>
      <c r="E6" s="8" t="n">
        <v>0</v>
      </c>
      <c r="F6" s="8" t="n">
        <v>1</v>
      </c>
      <c r="G6" s="8" t="n">
        <v>45</v>
      </c>
      <c r="H6" s="8" t="s">
        <v>38</v>
      </c>
      <c r="I6" s="8" t="s">
        <v>39</v>
      </c>
      <c r="J6" s="9" t="s">
        <v>48</v>
      </c>
      <c r="K6" s="8"/>
      <c r="L6" s="9" t="s">
        <v>49</v>
      </c>
    </row>
    <row r="7" customFormat="false" ht="15" hidden="false" customHeight="false" outlineLevel="0" collapsed="false">
      <c r="A7" s="8" t="s">
        <v>50</v>
      </c>
      <c r="B7" s="9" t="s">
        <v>51</v>
      </c>
      <c r="C7" s="9" t="s">
        <v>46</v>
      </c>
      <c r="D7" s="8" t="n">
        <v>60</v>
      </c>
      <c r="E7" s="8" t="n">
        <v>0</v>
      </c>
      <c r="F7" s="8" t="n">
        <v>1</v>
      </c>
      <c r="G7" s="8" t="n">
        <v>45</v>
      </c>
      <c r="H7" s="8" t="s">
        <v>38</v>
      </c>
      <c r="I7" s="8" t="s">
        <v>39</v>
      </c>
      <c r="J7" s="9" t="s">
        <v>52</v>
      </c>
      <c r="K7" s="8"/>
      <c r="L7" s="9" t="s">
        <v>53</v>
      </c>
    </row>
    <row r="8" customFormat="false" ht="15" hidden="false" customHeight="false" outlineLevel="0" collapsed="false">
      <c r="A8" s="8" t="s">
        <v>54</v>
      </c>
      <c r="B8" s="9" t="s">
        <v>55</v>
      </c>
      <c r="C8" s="9" t="s">
        <v>50</v>
      </c>
      <c r="D8" s="8" t="n">
        <v>20</v>
      </c>
      <c r="E8" s="8" t="n">
        <v>3</v>
      </c>
      <c r="F8" s="8" t="n">
        <v>1</v>
      </c>
      <c r="G8" s="8" t="n">
        <v>3</v>
      </c>
      <c r="H8" s="8" t="s">
        <v>38</v>
      </c>
      <c r="I8" s="8" t="s">
        <v>39</v>
      </c>
      <c r="J8" s="9" t="s">
        <v>56</v>
      </c>
      <c r="K8" s="8"/>
      <c r="L8" s="9" t="s">
        <v>57</v>
      </c>
    </row>
    <row r="9" customFormat="false" ht="15" hidden="false" customHeight="false" outlineLevel="0" collapsed="false">
      <c r="A9" s="8" t="s">
        <v>58</v>
      </c>
      <c r="B9" s="9" t="s">
        <v>59</v>
      </c>
      <c r="C9" s="9" t="s">
        <v>54</v>
      </c>
      <c r="D9" s="8" t="n">
        <v>30</v>
      </c>
      <c r="E9" s="8" t="n">
        <v>35</v>
      </c>
      <c r="F9" s="8" t="n">
        <v>1</v>
      </c>
      <c r="G9" s="8" t="n">
        <v>35</v>
      </c>
      <c r="H9" s="10" t="s">
        <v>60</v>
      </c>
      <c r="I9" s="8" t="s">
        <v>39</v>
      </c>
      <c r="J9" s="9" t="s">
        <v>61</v>
      </c>
      <c r="K9" s="8"/>
      <c r="L9" s="9" t="s">
        <v>62</v>
      </c>
    </row>
    <row r="10" customFormat="false" ht="23.85" hidden="false" customHeight="false" outlineLevel="0" collapsed="false">
      <c r="A10" s="8" t="s">
        <v>63</v>
      </c>
      <c r="B10" s="9" t="s">
        <v>64</v>
      </c>
      <c r="C10" s="9" t="s">
        <v>54</v>
      </c>
      <c r="D10" s="8" t="n">
        <v>40</v>
      </c>
      <c r="E10" s="8" t="n">
        <v>50</v>
      </c>
      <c r="F10" s="8" t="n">
        <v>2</v>
      </c>
      <c r="G10" s="8" t="n">
        <v>50</v>
      </c>
      <c r="H10" s="10" t="s">
        <v>65</v>
      </c>
      <c r="I10" s="8" t="s">
        <v>39</v>
      </c>
      <c r="J10" s="9" t="s">
        <v>61</v>
      </c>
      <c r="K10" s="8"/>
      <c r="L10" s="9" t="s">
        <v>66</v>
      </c>
    </row>
    <row r="11" customFormat="false" ht="23.85" hidden="false" customHeight="false" outlineLevel="0" collapsed="false">
      <c r="A11" s="8" t="s">
        <v>67</v>
      </c>
      <c r="B11" s="9" t="s">
        <v>68</v>
      </c>
      <c r="C11" s="9" t="s">
        <v>54</v>
      </c>
      <c r="D11" s="8" t="n">
        <v>55</v>
      </c>
      <c r="E11" s="8" t="n">
        <v>70</v>
      </c>
      <c r="F11" s="8" t="n">
        <v>2</v>
      </c>
      <c r="G11" s="8" t="n">
        <v>70</v>
      </c>
      <c r="H11" s="10" t="s">
        <v>69</v>
      </c>
      <c r="I11" s="8" t="s">
        <v>39</v>
      </c>
      <c r="J11" s="9" t="s">
        <v>61</v>
      </c>
      <c r="K11" s="8"/>
      <c r="L11" s="9" t="s">
        <v>70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9" t="s">
        <v>54</v>
      </c>
      <c r="D12" s="8" t="n">
        <v>35</v>
      </c>
      <c r="E12" s="8" t="n">
        <v>55</v>
      </c>
      <c r="F12" s="8" t="n">
        <v>2</v>
      </c>
      <c r="G12" s="8" t="n">
        <v>55</v>
      </c>
      <c r="H12" s="10" t="s">
        <v>73</v>
      </c>
      <c r="I12" s="8" t="s">
        <v>39</v>
      </c>
      <c r="J12" s="9" t="s">
        <v>61</v>
      </c>
      <c r="K12" s="8"/>
      <c r="L12" s="9" t="s">
        <v>74</v>
      </c>
    </row>
    <row r="13" customFormat="false" ht="15" hidden="false" customHeight="false" outlineLevel="0" collapsed="false">
      <c r="A13" s="11" t="s">
        <v>75</v>
      </c>
      <c r="B13" s="12" t="s">
        <v>76</v>
      </c>
      <c r="C13" s="12" t="s">
        <v>77</v>
      </c>
      <c r="D13" s="11" t="n">
        <v>10</v>
      </c>
      <c r="E13" s="11" t="n">
        <v>12</v>
      </c>
      <c r="F13" s="11" t="n">
        <v>1</v>
      </c>
      <c r="G13" s="11" t="n">
        <v>12</v>
      </c>
      <c r="H13" s="11" t="s">
        <v>78</v>
      </c>
      <c r="I13" s="11" t="s">
        <v>39</v>
      </c>
      <c r="J13" s="12" t="s">
        <v>79</v>
      </c>
      <c r="K13" s="11" t="s">
        <v>80</v>
      </c>
      <c r="L13" s="12" t="s">
        <v>81</v>
      </c>
    </row>
    <row r="14" customFormat="false" ht="15" hidden="false" customHeight="false" outlineLevel="0" collapsed="false">
      <c r="A14" s="8" t="s">
        <v>82</v>
      </c>
      <c r="B14" s="9" t="s">
        <v>83</v>
      </c>
      <c r="C14" s="9" t="s">
        <v>54</v>
      </c>
      <c r="D14" s="8" t="n">
        <v>60</v>
      </c>
      <c r="E14" s="8" t="n">
        <v>35</v>
      </c>
      <c r="F14" s="8" t="n">
        <v>1</v>
      </c>
      <c r="G14" s="8" t="n">
        <v>35</v>
      </c>
      <c r="H14" s="8" t="s">
        <v>38</v>
      </c>
      <c r="I14" s="8" t="s">
        <v>39</v>
      </c>
      <c r="J14" s="9" t="s">
        <v>84</v>
      </c>
      <c r="K14" s="8"/>
      <c r="L14" s="9" t="s">
        <v>85</v>
      </c>
    </row>
    <row r="15" customFormat="false" ht="15" hidden="false" customHeight="false" outlineLevel="0" collapsed="false">
      <c r="A15" s="8" t="s">
        <v>86</v>
      </c>
      <c r="B15" s="9" t="s">
        <v>87</v>
      </c>
      <c r="C15" s="9" t="s">
        <v>88</v>
      </c>
      <c r="D15" s="8" t="n">
        <v>25</v>
      </c>
      <c r="E15" s="8" t="n">
        <v>22</v>
      </c>
      <c r="F15" s="8" t="n">
        <v>2</v>
      </c>
      <c r="G15" s="8" t="n">
        <v>22</v>
      </c>
      <c r="H15" s="8" t="s">
        <v>38</v>
      </c>
      <c r="I15" s="8" t="s">
        <v>39</v>
      </c>
      <c r="J15" s="9" t="s">
        <v>89</v>
      </c>
      <c r="K15" s="8"/>
      <c r="L15" s="9" t="s">
        <v>90</v>
      </c>
    </row>
    <row r="16" customFormat="false" ht="15" hidden="false" customHeight="false" outlineLevel="0" collapsed="false">
      <c r="A16" s="11" t="s">
        <v>91</v>
      </c>
      <c r="B16" s="12" t="s">
        <v>92</v>
      </c>
      <c r="C16" s="12" t="s">
        <v>86</v>
      </c>
      <c r="D16" s="11" t="n">
        <v>20</v>
      </c>
      <c r="E16" s="11" t="n">
        <v>40</v>
      </c>
      <c r="F16" s="11" t="n">
        <v>1</v>
      </c>
      <c r="G16" s="11" t="n">
        <v>40</v>
      </c>
      <c r="H16" s="11" t="s">
        <v>38</v>
      </c>
      <c r="I16" s="11" t="s">
        <v>39</v>
      </c>
      <c r="J16" s="12" t="s">
        <v>93</v>
      </c>
      <c r="K16" s="11" t="s">
        <v>80</v>
      </c>
      <c r="L16" s="12" t="s">
        <v>94</v>
      </c>
    </row>
    <row r="17" customFormat="false" ht="15" hidden="false" customHeight="false" outlineLevel="0" collapsed="false">
      <c r="A17" s="11" t="s">
        <v>95</v>
      </c>
      <c r="B17" s="12" t="s">
        <v>96</v>
      </c>
      <c r="C17" s="12" t="s">
        <v>91</v>
      </c>
      <c r="D17" s="11" t="n">
        <v>5</v>
      </c>
      <c r="E17" s="11" t="n">
        <v>2880</v>
      </c>
      <c r="F17" s="11" t="n">
        <v>0.2</v>
      </c>
      <c r="G17" s="11" t="n">
        <v>15</v>
      </c>
      <c r="H17" s="11" t="s">
        <v>38</v>
      </c>
      <c r="I17" s="11" t="s">
        <v>97</v>
      </c>
      <c r="J17" s="12" t="s">
        <v>98</v>
      </c>
      <c r="K17" s="11" t="s">
        <v>80</v>
      </c>
      <c r="L17" s="12" t="s">
        <v>99</v>
      </c>
    </row>
    <row r="18" customFormat="false" ht="15" hidden="false" customHeight="false" outlineLevel="0" collapsed="false">
      <c r="A18" s="8" t="s">
        <v>100</v>
      </c>
      <c r="B18" s="9" t="s">
        <v>101</v>
      </c>
      <c r="C18" s="9" t="s">
        <v>95</v>
      </c>
      <c r="D18" s="8" t="n">
        <v>15</v>
      </c>
      <c r="E18" s="8" t="n">
        <v>18</v>
      </c>
      <c r="F18" s="8" t="n">
        <v>1</v>
      </c>
      <c r="G18" s="8" t="n">
        <v>18</v>
      </c>
      <c r="H18" s="10" t="s">
        <v>78</v>
      </c>
      <c r="I18" s="8" t="s">
        <v>39</v>
      </c>
      <c r="J18" s="9" t="s">
        <v>102</v>
      </c>
      <c r="K18" s="8"/>
      <c r="L18" s="9" t="s">
        <v>103</v>
      </c>
    </row>
    <row r="19" customFormat="false" ht="15" hidden="false" customHeight="false" outlineLevel="0" collapsed="false">
      <c r="A19" s="8" t="s">
        <v>104</v>
      </c>
      <c r="B19" s="9" t="s">
        <v>105</v>
      </c>
      <c r="C19" s="9" t="s">
        <v>106</v>
      </c>
      <c r="D19" s="8" t="n">
        <v>30</v>
      </c>
      <c r="E19" s="8" t="n">
        <v>90</v>
      </c>
      <c r="F19" s="8" t="n">
        <v>1</v>
      </c>
      <c r="G19" s="8" t="n">
        <v>90</v>
      </c>
      <c r="H19" s="8" t="s">
        <v>38</v>
      </c>
      <c r="I19" s="8" t="s">
        <v>39</v>
      </c>
      <c r="J19" s="9" t="s">
        <v>107</v>
      </c>
      <c r="K19" s="8"/>
      <c r="L19" s="9" t="s">
        <v>108</v>
      </c>
    </row>
    <row r="20" customFormat="false" ht="15" hidden="false" customHeight="false" outlineLevel="0" collapsed="false">
      <c r="A20" s="8" t="s">
        <v>109</v>
      </c>
      <c r="B20" s="9" t="s">
        <v>110</v>
      </c>
      <c r="C20" s="9" t="s">
        <v>111</v>
      </c>
      <c r="D20" s="8" t="n">
        <v>30</v>
      </c>
      <c r="E20" s="8" t="n">
        <v>25</v>
      </c>
      <c r="F20" s="8" t="n">
        <v>1</v>
      </c>
      <c r="G20" s="8" t="n">
        <v>25</v>
      </c>
      <c r="H20" s="8" t="s">
        <v>38</v>
      </c>
      <c r="I20" s="8" t="s">
        <v>39</v>
      </c>
      <c r="J20" s="9" t="s">
        <v>112</v>
      </c>
      <c r="K20" s="8"/>
      <c r="L20" s="9" t="s">
        <v>113</v>
      </c>
    </row>
    <row r="21" customFormat="false" ht="15" hidden="false" customHeight="false" outlineLevel="0" collapsed="false">
      <c r="A21" s="8" t="s">
        <v>114</v>
      </c>
      <c r="B21" s="9" t="s">
        <v>115</v>
      </c>
      <c r="C21" s="9" t="s">
        <v>109</v>
      </c>
      <c r="D21" s="8" t="n">
        <v>20</v>
      </c>
      <c r="E21" s="8" t="n">
        <v>15</v>
      </c>
      <c r="F21" s="8" t="n">
        <v>1</v>
      </c>
      <c r="G21" s="8" t="n">
        <v>15</v>
      </c>
      <c r="H21" s="8" t="s">
        <v>38</v>
      </c>
      <c r="I21" s="8" t="s">
        <v>39</v>
      </c>
      <c r="J21" s="9" t="s">
        <v>116</v>
      </c>
      <c r="K21" s="8"/>
      <c r="L21" s="9" t="s">
        <v>117</v>
      </c>
    </row>
    <row r="22" customFormat="false" ht="15" hidden="false" customHeight="false" outlineLevel="0" collapsed="false">
      <c r="A22" s="8" t="s">
        <v>118</v>
      </c>
      <c r="B22" s="9" t="s">
        <v>119</v>
      </c>
      <c r="C22" s="9" t="s">
        <v>114</v>
      </c>
      <c r="D22" s="8" t="n">
        <v>60</v>
      </c>
      <c r="E22" s="8" t="n">
        <v>8</v>
      </c>
      <c r="F22" s="8" t="n">
        <v>1</v>
      </c>
      <c r="G22" s="8" t="n">
        <v>8</v>
      </c>
      <c r="H22" s="8" t="s">
        <v>38</v>
      </c>
      <c r="I22" s="8" t="s">
        <v>39</v>
      </c>
      <c r="J22" s="9" t="s">
        <v>120</v>
      </c>
      <c r="K22" s="8"/>
      <c r="L22" s="9" t="s">
        <v>121</v>
      </c>
    </row>
    <row r="23" customFormat="false" ht="15" hidden="false" customHeight="false" outlineLevel="0" collapsed="false">
      <c r="A23" s="8" t="s">
        <v>122</v>
      </c>
      <c r="B23" s="9" t="s">
        <v>123</v>
      </c>
      <c r="C23" s="9" t="s">
        <v>118</v>
      </c>
      <c r="D23" s="8" t="n">
        <v>15</v>
      </c>
      <c r="E23" s="8" t="n">
        <v>10</v>
      </c>
      <c r="F23" s="8" t="n">
        <v>1</v>
      </c>
      <c r="G23" s="8" t="n">
        <v>10</v>
      </c>
      <c r="H23" s="8" t="s">
        <v>38</v>
      </c>
      <c r="I23" s="8" t="s">
        <v>39</v>
      </c>
      <c r="J23" s="9" t="s">
        <v>123</v>
      </c>
      <c r="K23" s="8"/>
      <c r="L23" s="9" t="s">
        <v>124</v>
      </c>
    </row>
    <row r="24" customFormat="false" ht="15" hidden="false" customHeight="false" outlineLevel="0" collapsed="false">
      <c r="A24" s="8" t="s">
        <v>125</v>
      </c>
      <c r="B24" s="9" t="s">
        <v>126</v>
      </c>
      <c r="C24" s="9" t="s">
        <v>122</v>
      </c>
      <c r="D24" s="8" t="n">
        <v>45</v>
      </c>
      <c r="E24" s="8" t="n">
        <v>0</v>
      </c>
      <c r="F24" s="8" t="n">
        <v>1</v>
      </c>
      <c r="G24" s="8" t="n">
        <v>30</v>
      </c>
      <c r="H24" s="8" t="s">
        <v>38</v>
      </c>
      <c r="I24" s="8" t="s">
        <v>39</v>
      </c>
      <c r="J24" s="9" t="s">
        <v>127</v>
      </c>
      <c r="K24" s="8"/>
      <c r="L24" s="9" t="s">
        <v>128</v>
      </c>
    </row>
    <row r="25" customFormat="false" ht="15" hidden="false" customHeight="false" outlineLevel="0" collapsed="false">
      <c r="A25" s="8" t="s">
        <v>129</v>
      </c>
      <c r="B25" s="9" t="s">
        <v>130</v>
      </c>
      <c r="C25" s="9" t="s">
        <v>125</v>
      </c>
      <c r="D25" s="8" t="n">
        <v>20</v>
      </c>
      <c r="E25" s="8" t="n">
        <v>0</v>
      </c>
      <c r="F25" s="8" t="n">
        <v>1</v>
      </c>
      <c r="G25" s="8" t="n">
        <v>20</v>
      </c>
      <c r="H25" s="8" t="s">
        <v>38</v>
      </c>
      <c r="I25" s="8" t="s">
        <v>39</v>
      </c>
      <c r="J25" s="9" t="s">
        <v>40</v>
      </c>
      <c r="K25" s="8"/>
      <c r="L25" s="9" t="s">
        <v>131</v>
      </c>
    </row>
    <row r="27" customFormat="false" ht="22.35" hidden="false" customHeight="true" outlineLevel="0" collapsed="false">
      <c r="A27" s="13" t="s">
        <v>132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</sheetData>
  <mergeCells count="2">
    <mergeCell ref="A1:L1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6" t="s">
        <v>133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3" t="s">
        <v>134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27</v>
      </c>
      <c r="D4" s="7" t="s">
        <v>28</v>
      </c>
      <c r="E4" s="7" t="s">
        <v>32</v>
      </c>
      <c r="F4" s="7" t="s">
        <v>33</v>
      </c>
    </row>
    <row r="5" customFormat="false" ht="15" hidden="false" customHeight="false" outlineLevel="0" collapsed="false">
      <c r="A5" s="8" t="s">
        <v>54</v>
      </c>
      <c r="B5" s="9" t="s">
        <v>55</v>
      </c>
      <c r="C5" s="8" t="n">
        <v>2</v>
      </c>
      <c r="D5" s="8" t="n">
        <v>1</v>
      </c>
      <c r="E5" s="9" t="s">
        <v>56</v>
      </c>
      <c r="F5" s="9"/>
    </row>
    <row r="6" customFormat="false" ht="15" hidden="false" customHeight="false" outlineLevel="0" collapsed="false">
      <c r="A6" s="8" t="s">
        <v>58</v>
      </c>
      <c r="B6" s="9" t="s">
        <v>59</v>
      </c>
      <c r="C6" s="8" t="n">
        <v>35</v>
      </c>
      <c r="D6" s="8" t="n">
        <v>1</v>
      </c>
      <c r="E6" s="9" t="s">
        <v>61</v>
      </c>
      <c r="F6" s="9"/>
    </row>
    <row r="7" customFormat="false" ht="15" hidden="false" customHeight="false" outlineLevel="0" collapsed="false">
      <c r="A7" s="8" t="s">
        <v>82</v>
      </c>
      <c r="B7" s="9" t="s">
        <v>83</v>
      </c>
      <c r="C7" s="8" t="n">
        <v>28</v>
      </c>
      <c r="D7" s="8" t="n">
        <v>1</v>
      </c>
      <c r="E7" s="9" t="s">
        <v>84</v>
      </c>
      <c r="F7" s="9"/>
    </row>
    <row r="8" customFormat="false" ht="15" hidden="false" customHeight="false" outlineLevel="0" collapsed="false">
      <c r="A8" s="8" t="s">
        <v>86</v>
      </c>
      <c r="B8" s="9" t="s">
        <v>87</v>
      </c>
      <c r="C8" s="8" t="n">
        <v>16</v>
      </c>
      <c r="D8" s="8" t="n">
        <v>1</v>
      </c>
      <c r="E8" s="9" t="s">
        <v>89</v>
      </c>
      <c r="F8" s="9"/>
    </row>
    <row r="9" customFormat="false" ht="15" hidden="false" customHeight="false" outlineLevel="0" collapsed="false">
      <c r="A9" s="11" t="s">
        <v>91</v>
      </c>
      <c r="B9" s="12" t="s">
        <v>92</v>
      </c>
      <c r="C9" s="11" t="n">
        <v>28</v>
      </c>
      <c r="D9" s="11" t="n">
        <v>1</v>
      </c>
      <c r="E9" s="12" t="s">
        <v>93</v>
      </c>
      <c r="F9" s="12" t="s">
        <v>80</v>
      </c>
    </row>
    <row r="10" customFormat="false" ht="15" hidden="false" customHeight="false" outlineLevel="0" collapsed="false">
      <c r="A10" s="11" t="s">
        <v>95</v>
      </c>
      <c r="B10" s="12" t="s">
        <v>135</v>
      </c>
      <c r="C10" s="11" t="n">
        <v>1440</v>
      </c>
      <c r="D10" s="11" t="n">
        <v>0.2</v>
      </c>
      <c r="E10" s="12" t="s">
        <v>98</v>
      </c>
      <c r="F10" s="12" t="s">
        <v>80</v>
      </c>
    </row>
    <row r="11" customFormat="false" ht="15" hidden="false" customHeight="false" outlineLevel="0" collapsed="false">
      <c r="A11" s="8" t="s">
        <v>109</v>
      </c>
      <c r="B11" s="9" t="s">
        <v>136</v>
      </c>
      <c r="C11" s="8" t="n">
        <v>18</v>
      </c>
      <c r="D11" s="8" t="n">
        <v>1</v>
      </c>
      <c r="E11" s="9" t="s">
        <v>112</v>
      </c>
      <c r="F11" s="9"/>
    </row>
    <row r="12" customFormat="false" ht="15" hidden="false" customHeight="false" outlineLevel="0" collapsed="false">
      <c r="A12" s="8" t="s">
        <v>114</v>
      </c>
      <c r="B12" s="9" t="s">
        <v>115</v>
      </c>
      <c r="C12" s="8" t="n">
        <v>10</v>
      </c>
      <c r="D12" s="8" t="n">
        <v>1</v>
      </c>
      <c r="E12" s="9" t="s">
        <v>116</v>
      </c>
      <c r="F12" s="9"/>
    </row>
    <row r="13" customFormat="false" ht="15" hidden="false" customHeight="false" outlineLevel="0" collapsed="false">
      <c r="A13" s="8" t="s">
        <v>118</v>
      </c>
      <c r="B13" s="9" t="s">
        <v>119</v>
      </c>
      <c r="C13" s="8" t="n">
        <v>6</v>
      </c>
      <c r="D13" s="8" t="n">
        <v>1</v>
      </c>
      <c r="E13" s="9" t="s">
        <v>120</v>
      </c>
      <c r="F13" s="9"/>
    </row>
    <row r="14" customFormat="false" ht="15" hidden="false" customHeight="false" outlineLevel="0" collapsed="false">
      <c r="A14" s="8" t="s">
        <v>122</v>
      </c>
      <c r="B14" s="9" t="s">
        <v>123</v>
      </c>
      <c r="C14" s="8" t="n">
        <v>5</v>
      </c>
      <c r="D14" s="8" t="n">
        <v>1</v>
      </c>
      <c r="E14" s="9" t="s">
        <v>123</v>
      </c>
      <c r="F14" s="9"/>
    </row>
    <row r="16" customFormat="false" ht="15" hidden="false" customHeight="false" outlineLevel="0" collapsed="false">
      <c r="B16" s="14" t="s">
        <v>137</v>
      </c>
      <c r="C16" s="15" t="n">
        <v>148</v>
      </c>
    </row>
    <row r="18" customFormat="false" ht="15" hidden="false" customHeight="true" outlineLevel="0" collapsed="false">
      <c r="A18" s="16" t="s">
        <v>138</v>
      </c>
      <c r="B18" s="16"/>
      <c r="C18" s="16"/>
      <c r="D18" s="16"/>
      <c r="E18" s="16"/>
      <c r="F18" s="16"/>
    </row>
    <row r="19" customFormat="false" ht="22.35" hidden="false" customHeight="true" outlineLevel="0" collapsed="false">
      <c r="A19" s="13" t="s">
        <v>139</v>
      </c>
      <c r="B19" s="13"/>
      <c r="C19" s="13"/>
      <c r="D19" s="13"/>
      <c r="E19" s="13"/>
      <c r="F19" s="13"/>
    </row>
  </sheetData>
  <mergeCells count="4">
    <mergeCell ref="A1:F1"/>
    <mergeCell ref="A2:F2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6" t="s">
        <v>140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3" t="s">
        <v>141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27</v>
      </c>
      <c r="D4" s="7" t="s">
        <v>28</v>
      </c>
      <c r="E4" s="7" t="s">
        <v>32</v>
      </c>
      <c r="F4" s="7" t="s">
        <v>33</v>
      </c>
    </row>
    <row r="5" customFormat="false" ht="15" hidden="false" customHeight="false" outlineLevel="0" collapsed="false">
      <c r="A5" s="8" t="s">
        <v>54</v>
      </c>
      <c r="B5" s="9" t="s">
        <v>55</v>
      </c>
      <c r="C5" s="8" t="n">
        <v>3</v>
      </c>
      <c r="D5" s="8" t="n">
        <v>1</v>
      </c>
      <c r="E5" s="9" t="s">
        <v>56</v>
      </c>
      <c r="F5" s="9"/>
    </row>
    <row r="6" customFormat="false" ht="15" hidden="false" customHeight="false" outlineLevel="0" collapsed="false">
      <c r="A6" s="8" t="s">
        <v>63</v>
      </c>
      <c r="B6" s="9" t="s">
        <v>64</v>
      </c>
      <c r="C6" s="8" t="n">
        <v>50</v>
      </c>
      <c r="D6" s="8" t="n">
        <v>2</v>
      </c>
      <c r="E6" s="9" t="s">
        <v>61</v>
      </c>
      <c r="F6" s="9"/>
    </row>
    <row r="7" customFormat="false" ht="15" hidden="false" customHeight="false" outlineLevel="0" collapsed="false">
      <c r="A7" s="11" t="s">
        <v>75</v>
      </c>
      <c r="B7" s="12" t="s">
        <v>76</v>
      </c>
      <c r="C7" s="11" t="n">
        <v>10</v>
      </c>
      <c r="D7" s="11" t="n">
        <v>1</v>
      </c>
      <c r="E7" s="12" t="s">
        <v>79</v>
      </c>
      <c r="F7" s="12" t="s">
        <v>80</v>
      </c>
    </row>
    <row r="8" customFormat="false" ht="15" hidden="false" customHeight="false" outlineLevel="0" collapsed="false">
      <c r="A8" s="8" t="s">
        <v>82</v>
      </c>
      <c r="B8" s="9" t="s">
        <v>83</v>
      </c>
      <c r="C8" s="8" t="n">
        <v>32</v>
      </c>
      <c r="D8" s="8" t="n">
        <v>1</v>
      </c>
      <c r="E8" s="9" t="s">
        <v>84</v>
      </c>
      <c r="F8" s="9"/>
    </row>
    <row r="9" customFormat="false" ht="15" hidden="false" customHeight="false" outlineLevel="0" collapsed="false">
      <c r="A9" s="8" t="s">
        <v>86</v>
      </c>
      <c r="B9" s="9" t="s">
        <v>87</v>
      </c>
      <c r="C9" s="8" t="n">
        <v>20</v>
      </c>
      <c r="D9" s="8" t="n">
        <v>1</v>
      </c>
      <c r="E9" s="9" t="s">
        <v>89</v>
      </c>
      <c r="F9" s="9"/>
    </row>
    <row r="10" customFormat="false" ht="15" hidden="false" customHeight="false" outlineLevel="0" collapsed="false">
      <c r="A10" s="11" t="s">
        <v>91</v>
      </c>
      <c r="B10" s="12" t="s">
        <v>92</v>
      </c>
      <c r="C10" s="11" t="n">
        <v>36</v>
      </c>
      <c r="D10" s="11" t="n">
        <v>1</v>
      </c>
      <c r="E10" s="12" t="s">
        <v>93</v>
      </c>
      <c r="F10" s="12" t="s">
        <v>80</v>
      </c>
    </row>
    <row r="11" customFormat="false" ht="15" hidden="false" customHeight="false" outlineLevel="0" collapsed="false">
      <c r="A11" s="11" t="s">
        <v>95</v>
      </c>
      <c r="B11" s="12" t="s">
        <v>142</v>
      </c>
      <c r="C11" s="11" t="n">
        <v>2880</v>
      </c>
      <c r="D11" s="11" t="n">
        <v>0.2</v>
      </c>
      <c r="E11" s="12" t="s">
        <v>98</v>
      </c>
      <c r="F11" s="12" t="s">
        <v>80</v>
      </c>
    </row>
    <row r="12" customFormat="false" ht="15" hidden="false" customHeight="false" outlineLevel="0" collapsed="false">
      <c r="A12" s="8" t="s">
        <v>100</v>
      </c>
      <c r="B12" s="9" t="s">
        <v>101</v>
      </c>
      <c r="C12" s="8" t="n">
        <v>16</v>
      </c>
      <c r="D12" s="8" t="n">
        <v>1</v>
      </c>
      <c r="E12" s="9" t="s">
        <v>102</v>
      </c>
      <c r="F12" s="9"/>
    </row>
    <row r="13" customFormat="false" ht="15" hidden="false" customHeight="false" outlineLevel="0" collapsed="false">
      <c r="A13" s="8" t="s">
        <v>109</v>
      </c>
      <c r="B13" s="9" t="s">
        <v>136</v>
      </c>
      <c r="C13" s="8" t="n">
        <v>22</v>
      </c>
      <c r="D13" s="8" t="n">
        <v>1</v>
      </c>
      <c r="E13" s="9" t="s">
        <v>112</v>
      </c>
      <c r="F13" s="9"/>
    </row>
    <row r="14" customFormat="false" ht="15" hidden="false" customHeight="false" outlineLevel="0" collapsed="false">
      <c r="A14" s="8" t="s">
        <v>114</v>
      </c>
      <c r="B14" s="9" t="s">
        <v>115</v>
      </c>
      <c r="C14" s="8" t="n">
        <v>12</v>
      </c>
      <c r="D14" s="8" t="n">
        <v>1</v>
      </c>
      <c r="E14" s="9" t="s">
        <v>116</v>
      </c>
      <c r="F14" s="9"/>
    </row>
    <row r="15" customFormat="false" ht="15" hidden="false" customHeight="false" outlineLevel="0" collapsed="false">
      <c r="A15" s="8" t="s">
        <v>118</v>
      </c>
      <c r="B15" s="9" t="s">
        <v>119</v>
      </c>
      <c r="C15" s="8" t="n">
        <v>8</v>
      </c>
      <c r="D15" s="8" t="n">
        <v>1</v>
      </c>
      <c r="E15" s="9" t="s">
        <v>120</v>
      </c>
      <c r="F15" s="9"/>
    </row>
    <row r="16" customFormat="false" ht="15" hidden="false" customHeight="false" outlineLevel="0" collapsed="false">
      <c r="A16" s="8" t="s">
        <v>122</v>
      </c>
      <c r="B16" s="9" t="s">
        <v>123</v>
      </c>
      <c r="C16" s="8" t="n">
        <v>6</v>
      </c>
      <c r="D16" s="8" t="n">
        <v>1</v>
      </c>
      <c r="E16" s="9" t="s">
        <v>123</v>
      </c>
      <c r="F16" s="9"/>
    </row>
    <row r="18" customFormat="false" ht="15" hidden="false" customHeight="false" outlineLevel="0" collapsed="false">
      <c r="B18" s="14" t="s">
        <v>137</v>
      </c>
      <c r="C18" s="15" t="n">
        <v>215</v>
      </c>
    </row>
    <row r="20" customFormat="false" ht="15" hidden="false" customHeight="true" outlineLevel="0" collapsed="false">
      <c r="A20" s="16" t="s">
        <v>143</v>
      </c>
      <c r="B20" s="16"/>
      <c r="C20" s="16"/>
      <c r="D20" s="16"/>
      <c r="E20" s="16"/>
      <c r="F20" s="16"/>
    </row>
    <row r="21" customFormat="false" ht="22.35" hidden="false" customHeight="true" outlineLevel="0" collapsed="false">
      <c r="A21" s="13" t="s">
        <v>139</v>
      </c>
      <c r="B21" s="13"/>
      <c r="C21" s="13"/>
      <c r="D21" s="13"/>
      <c r="E21" s="13"/>
      <c r="F21" s="13"/>
    </row>
  </sheetData>
  <mergeCells count="4">
    <mergeCell ref="A1:F1"/>
    <mergeCell ref="A2:F2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6" t="s">
        <v>144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3" t="s">
        <v>145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27</v>
      </c>
      <c r="D4" s="7" t="s">
        <v>28</v>
      </c>
      <c r="E4" s="7" t="s">
        <v>32</v>
      </c>
      <c r="F4" s="7" t="s">
        <v>33</v>
      </c>
    </row>
    <row r="5" customFormat="false" ht="15" hidden="false" customHeight="false" outlineLevel="0" collapsed="false">
      <c r="A5" s="8" t="s">
        <v>54</v>
      </c>
      <c r="B5" s="9" t="s">
        <v>55</v>
      </c>
      <c r="C5" s="8" t="n">
        <v>3</v>
      </c>
      <c r="D5" s="8" t="n">
        <v>1</v>
      </c>
      <c r="E5" s="9" t="s">
        <v>56</v>
      </c>
      <c r="F5" s="9"/>
    </row>
    <row r="6" customFormat="false" ht="15" hidden="false" customHeight="false" outlineLevel="0" collapsed="false">
      <c r="A6" s="8" t="s">
        <v>67</v>
      </c>
      <c r="B6" s="9" t="s">
        <v>68</v>
      </c>
      <c r="C6" s="8" t="n">
        <v>70</v>
      </c>
      <c r="D6" s="8" t="n">
        <v>2</v>
      </c>
      <c r="E6" s="9" t="s">
        <v>61</v>
      </c>
      <c r="F6" s="9"/>
    </row>
    <row r="7" customFormat="false" ht="15" hidden="false" customHeight="false" outlineLevel="0" collapsed="false">
      <c r="A7" s="11" t="s">
        <v>75</v>
      </c>
      <c r="B7" s="12" t="s">
        <v>146</v>
      </c>
      <c r="C7" s="11" t="n">
        <v>15</v>
      </c>
      <c r="D7" s="11" t="n">
        <v>1</v>
      </c>
      <c r="E7" s="12" t="s">
        <v>79</v>
      </c>
      <c r="F7" s="12" t="s">
        <v>80</v>
      </c>
    </row>
    <row r="8" customFormat="false" ht="15" hidden="false" customHeight="false" outlineLevel="0" collapsed="false">
      <c r="A8" s="8" t="s">
        <v>82</v>
      </c>
      <c r="B8" s="9" t="s">
        <v>83</v>
      </c>
      <c r="C8" s="8" t="n">
        <v>38</v>
      </c>
      <c r="D8" s="8" t="n">
        <v>1</v>
      </c>
      <c r="E8" s="9" t="s">
        <v>84</v>
      </c>
      <c r="F8" s="9"/>
    </row>
    <row r="9" customFormat="false" ht="15" hidden="false" customHeight="false" outlineLevel="0" collapsed="false">
      <c r="A9" s="8" t="s">
        <v>86</v>
      </c>
      <c r="B9" s="9" t="s">
        <v>87</v>
      </c>
      <c r="C9" s="8" t="n">
        <v>28</v>
      </c>
      <c r="D9" s="8" t="n">
        <v>2</v>
      </c>
      <c r="E9" s="9" t="s">
        <v>89</v>
      </c>
      <c r="F9" s="9"/>
    </row>
    <row r="10" customFormat="false" ht="15" hidden="false" customHeight="false" outlineLevel="0" collapsed="false">
      <c r="A10" s="11" t="s">
        <v>91</v>
      </c>
      <c r="B10" s="12" t="s">
        <v>92</v>
      </c>
      <c r="C10" s="11" t="n">
        <v>48</v>
      </c>
      <c r="D10" s="11" t="n">
        <v>1</v>
      </c>
      <c r="E10" s="12" t="s">
        <v>93</v>
      </c>
      <c r="F10" s="12" t="s">
        <v>80</v>
      </c>
    </row>
    <row r="11" customFormat="false" ht="15" hidden="false" customHeight="false" outlineLevel="0" collapsed="false">
      <c r="A11" s="11" t="s">
        <v>95</v>
      </c>
      <c r="B11" s="12" t="s">
        <v>142</v>
      </c>
      <c r="C11" s="11" t="n">
        <v>2880</v>
      </c>
      <c r="D11" s="11" t="n">
        <v>0.2</v>
      </c>
      <c r="E11" s="12" t="s">
        <v>98</v>
      </c>
      <c r="F11" s="12" t="s">
        <v>80</v>
      </c>
    </row>
    <row r="12" customFormat="false" ht="15" hidden="false" customHeight="false" outlineLevel="0" collapsed="false">
      <c r="A12" s="8" t="s">
        <v>100</v>
      </c>
      <c r="B12" s="9" t="s">
        <v>101</v>
      </c>
      <c r="C12" s="8" t="n">
        <v>22</v>
      </c>
      <c r="D12" s="8" t="n">
        <v>1</v>
      </c>
      <c r="E12" s="9" t="s">
        <v>102</v>
      </c>
      <c r="F12" s="9"/>
    </row>
    <row r="13" customFormat="false" ht="15" hidden="false" customHeight="false" outlineLevel="0" collapsed="false">
      <c r="A13" s="8" t="s">
        <v>109</v>
      </c>
      <c r="B13" s="9" t="s">
        <v>136</v>
      </c>
      <c r="C13" s="8" t="n">
        <v>30</v>
      </c>
      <c r="D13" s="8" t="n">
        <v>1</v>
      </c>
      <c r="E13" s="9" t="s">
        <v>112</v>
      </c>
      <c r="F13" s="9"/>
    </row>
    <row r="14" customFormat="false" ht="15" hidden="false" customHeight="false" outlineLevel="0" collapsed="false">
      <c r="A14" s="8" t="s">
        <v>114</v>
      </c>
      <c r="B14" s="9" t="s">
        <v>115</v>
      </c>
      <c r="C14" s="8" t="n">
        <v>18</v>
      </c>
      <c r="D14" s="8" t="n">
        <v>1</v>
      </c>
      <c r="E14" s="9" t="s">
        <v>116</v>
      </c>
      <c r="F14" s="9"/>
    </row>
    <row r="15" customFormat="false" ht="15" hidden="false" customHeight="false" outlineLevel="0" collapsed="false">
      <c r="A15" s="8" t="s">
        <v>118</v>
      </c>
      <c r="B15" s="9" t="s">
        <v>119</v>
      </c>
      <c r="C15" s="8" t="n">
        <v>10</v>
      </c>
      <c r="D15" s="8" t="n">
        <v>1</v>
      </c>
      <c r="E15" s="9" t="s">
        <v>120</v>
      </c>
      <c r="F15" s="9"/>
    </row>
    <row r="16" customFormat="false" ht="15" hidden="false" customHeight="false" outlineLevel="0" collapsed="false">
      <c r="A16" s="8" t="s">
        <v>122</v>
      </c>
      <c r="B16" s="9" t="s">
        <v>123</v>
      </c>
      <c r="C16" s="8" t="n">
        <v>8</v>
      </c>
      <c r="D16" s="8" t="n">
        <v>1</v>
      </c>
      <c r="E16" s="9" t="s">
        <v>123</v>
      </c>
      <c r="F16" s="9"/>
    </row>
    <row r="18" customFormat="false" ht="15" hidden="false" customHeight="false" outlineLevel="0" collapsed="false">
      <c r="B18" s="14" t="s">
        <v>137</v>
      </c>
      <c r="C18" s="15" t="n">
        <v>290</v>
      </c>
    </row>
    <row r="20" customFormat="false" ht="15" hidden="false" customHeight="true" outlineLevel="0" collapsed="false">
      <c r="A20" s="16" t="s">
        <v>147</v>
      </c>
      <c r="B20" s="16"/>
      <c r="C20" s="16"/>
      <c r="D20" s="16"/>
      <c r="E20" s="16"/>
      <c r="F20" s="16"/>
    </row>
    <row r="21" customFormat="false" ht="22.35" hidden="false" customHeight="true" outlineLevel="0" collapsed="false">
      <c r="A21" s="13" t="s">
        <v>139</v>
      </c>
      <c r="B21" s="13"/>
      <c r="C21" s="13"/>
      <c r="D21" s="13"/>
      <c r="E21" s="13"/>
      <c r="F21" s="13"/>
    </row>
  </sheetData>
  <mergeCells count="4">
    <mergeCell ref="A1:F1"/>
    <mergeCell ref="A2:F2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6" t="s">
        <v>148</v>
      </c>
      <c r="B1" s="6"/>
      <c r="C1" s="6"/>
      <c r="D1" s="6"/>
      <c r="E1" s="6"/>
      <c r="F1" s="6"/>
    </row>
    <row r="2" customFormat="false" ht="15" hidden="false" customHeight="true" outlineLevel="0" collapsed="false">
      <c r="A2" s="13" t="s">
        <v>149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27</v>
      </c>
      <c r="D4" s="7" t="s">
        <v>28</v>
      </c>
      <c r="E4" s="7" t="s">
        <v>32</v>
      </c>
      <c r="F4" s="7" t="s">
        <v>33</v>
      </c>
    </row>
    <row r="5" customFormat="false" ht="15" hidden="false" customHeight="false" outlineLevel="0" collapsed="false">
      <c r="A5" s="8" t="s">
        <v>54</v>
      </c>
      <c r="B5" s="9" t="s">
        <v>55</v>
      </c>
      <c r="C5" s="8" t="n">
        <v>4</v>
      </c>
      <c r="D5" s="8" t="n">
        <v>1</v>
      </c>
      <c r="E5" s="9" t="s">
        <v>56</v>
      </c>
      <c r="F5" s="9"/>
    </row>
    <row r="6" customFormat="false" ht="15" hidden="false" customHeight="false" outlineLevel="0" collapsed="false">
      <c r="A6" s="8" t="s">
        <v>71</v>
      </c>
      <c r="B6" s="9" t="s">
        <v>72</v>
      </c>
      <c r="C6" s="8" t="n">
        <v>55</v>
      </c>
      <c r="D6" s="8" t="n">
        <v>2</v>
      </c>
      <c r="E6" s="9" t="s">
        <v>61</v>
      </c>
      <c r="F6" s="9"/>
    </row>
    <row r="7" customFormat="false" ht="15" hidden="false" customHeight="false" outlineLevel="0" collapsed="false">
      <c r="A7" s="8" t="s">
        <v>82</v>
      </c>
      <c r="B7" s="9" t="s">
        <v>83</v>
      </c>
      <c r="C7" s="8" t="n">
        <v>38</v>
      </c>
      <c r="D7" s="8" t="n">
        <v>1</v>
      </c>
      <c r="E7" s="9" t="s">
        <v>84</v>
      </c>
      <c r="F7" s="9"/>
    </row>
    <row r="8" customFormat="false" ht="15" hidden="false" customHeight="false" outlineLevel="0" collapsed="false">
      <c r="A8" s="8" t="s">
        <v>86</v>
      </c>
      <c r="B8" s="9" t="s">
        <v>87</v>
      </c>
      <c r="C8" s="8" t="n">
        <v>34</v>
      </c>
      <c r="D8" s="8" t="n">
        <v>2</v>
      </c>
      <c r="E8" s="9" t="s">
        <v>89</v>
      </c>
      <c r="F8" s="9"/>
    </row>
    <row r="9" customFormat="false" ht="15" hidden="false" customHeight="false" outlineLevel="0" collapsed="false">
      <c r="A9" s="11" t="s">
        <v>91</v>
      </c>
      <c r="B9" s="12" t="s">
        <v>92</v>
      </c>
      <c r="C9" s="11" t="n">
        <v>55</v>
      </c>
      <c r="D9" s="11" t="n">
        <v>1</v>
      </c>
      <c r="E9" s="12" t="s">
        <v>93</v>
      </c>
      <c r="F9" s="12" t="s">
        <v>80</v>
      </c>
    </row>
    <row r="10" customFormat="false" ht="15" hidden="false" customHeight="false" outlineLevel="0" collapsed="false">
      <c r="A10" s="11" t="s">
        <v>95</v>
      </c>
      <c r="B10" s="12" t="s">
        <v>150</v>
      </c>
      <c r="C10" s="11" t="n">
        <v>3600</v>
      </c>
      <c r="D10" s="11" t="n">
        <v>0.2</v>
      </c>
      <c r="E10" s="12" t="s">
        <v>98</v>
      </c>
      <c r="F10" s="12" t="s">
        <v>80</v>
      </c>
    </row>
    <row r="11" customFormat="false" ht="15" hidden="false" customHeight="false" outlineLevel="0" collapsed="false">
      <c r="A11" s="8" t="s">
        <v>109</v>
      </c>
      <c r="B11" s="9" t="s">
        <v>136</v>
      </c>
      <c r="C11" s="8" t="n">
        <v>30</v>
      </c>
      <c r="D11" s="8" t="n">
        <v>1</v>
      </c>
      <c r="E11" s="9" t="s">
        <v>112</v>
      </c>
      <c r="F11" s="9"/>
    </row>
    <row r="12" customFormat="false" ht="15" hidden="false" customHeight="false" outlineLevel="0" collapsed="false">
      <c r="A12" s="8" t="s">
        <v>114</v>
      </c>
      <c r="B12" s="9" t="s">
        <v>115</v>
      </c>
      <c r="C12" s="8" t="n">
        <v>20</v>
      </c>
      <c r="D12" s="8" t="n">
        <v>1</v>
      </c>
      <c r="E12" s="9" t="s">
        <v>116</v>
      </c>
      <c r="F12" s="9"/>
    </row>
    <row r="13" customFormat="false" ht="15" hidden="false" customHeight="false" outlineLevel="0" collapsed="false">
      <c r="A13" s="8" t="s">
        <v>118</v>
      </c>
      <c r="B13" s="9" t="s">
        <v>119</v>
      </c>
      <c r="C13" s="8" t="n">
        <v>12</v>
      </c>
      <c r="D13" s="8" t="n">
        <v>1</v>
      </c>
      <c r="E13" s="9" t="s">
        <v>120</v>
      </c>
      <c r="F13" s="9"/>
    </row>
    <row r="14" customFormat="false" ht="15" hidden="false" customHeight="false" outlineLevel="0" collapsed="false">
      <c r="A14" s="8" t="s">
        <v>122</v>
      </c>
      <c r="B14" s="9" t="s">
        <v>123</v>
      </c>
      <c r="C14" s="8" t="n">
        <v>12</v>
      </c>
      <c r="D14" s="8" t="n">
        <v>1</v>
      </c>
      <c r="E14" s="9" t="s">
        <v>123</v>
      </c>
      <c r="F14" s="9"/>
    </row>
    <row r="16" customFormat="false" ht="15" hidden="false" customHeight="false" outlineLevel="0" collapsed="false">
      <c r="B16" s="14" t="s">
        <v>137</v>
      </c>
      <c r="C16" s="15" t="n">
        <v>260</v>
      </c>
    </row>
    <row r="18" customFormat="false" ht="15" hidden="false" customHeight="true" outlineLevel="0" collapsed="false">
      <c r="A18" s="16" t="s">
        <v>151</v>
      </c>
      <c r="B18" s="16"/>
      <c r="C18" s="16"/>
      <c r="D18" s="16"/>
      <c r="E18" s="16"/>
      <c r="F18" s="16"/>
    </row>
    <row r="19" customFormat="false" ht="22.35" hidden="false" customHeight="true" outlineLevel="0" collapsed="false">
      <c r="A19" s="13" t="s">
        <v>139</v>
      </c>
      <c r="B19" s="13"/>
      <c r="C19" s="13"/>
      <c r="D19" s="13"/>
      <c r="E19" s="13"/>
      <c r="F19" s="13"/>
    </row>
  </sheetData>
  <mergeCells count="4">
    <mergeCell ref="A1:F1"/>
    <mergeCell ref="A2:F2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6" t="s">
        <v>152</v>
      </c>
      <c r="B1" s="6"/>
      <c r="C1" s="6"/>
      <c r="D1" s="6"/>
      <c r="E1" s="6"/>
      <c r="F1" s="6"/>
      <c r="G1" s="6"/>
      <c r="H1" s="6"/>
      <c r="I1" s="6"/>
    </row>
    <row r="3" customFormat="false" ht="15" hidden="false" customHeight="false" outlineLevel="0" collapsed="false">
      <c r="A3" s="7" t="s">
        <v>153</v>
      </c>
      <c r="B3" s="7" t="s">
        <v>154</v>
      </c>
      <c r="C3" s="7" t="s">
        <v>155</v>
      </c>
      <c r="D3" s="7" t="s">
        <v>156</v>
      </c>
      <c r="E3" s="7" t="s">
        <v>157</v>
      </c>
      <c r="F3" s="7" t="s">
        <v>34</v>
      </c>
    </row>
    <row r="4" customFormat="false" ht="23.85" hidden="false" customHeight="false" outlineLevel="0" collapsed="false">
      <c r="A4" s="9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9" t="s">
        <v>163</v>
      </c>
    </row>
    <row r="5" customFormat="false" ht="15" hidden="false" customHeight="false" outlineLevel="0" collapsed="false">
      <c r="A5" s="9" t="s">
        <v>164</v>
      </c>
      <c r="B5" s="8" t="n">
        <v>10</v>
      </c>
      <c r="C5" s="8" t="n">
        <v>12</v>
      </c>
      <c r="D5" s="8" t="n">
        <v>12</v>
      </c>
      <c r="E5" s="8" t="n">
        <v>10</v>
      </c>
      <c r="F5" s="9" t="s">
        <v>165</v>
      </c>
    </row>
    <row r="6" customFormat="false" ht="15" hidden="false" customHeight="false" outlineLevel="0" collapsed="false">
      <c r="A6" s="9" t="s">
        <v>166</v>
      </c>
      <c r="B6" s="8" t="s">
        <v>167</v>
      </c>
      <c r="C6" s="8" t="s">
        <v>168</v>
      </c>
      <c r="D6" s="8" t="s">
        <v>169</v>
      </c>
      <c r="E6" s="8" t="s">
        <v>167</v>
      </c>
      <c r="F6" s="9" t="s">
        <v>170</v>
      </c>
    </row>
    <row r="7" customFormat="false" ht="15" hidden="false" customHeight="false" outlineLevel="0" collapsed="false">
      <c r="A7" s="9" t="s">
        <v>171</v>
      </c>
      <c r="B7" s="8" t="s">
        <v>167</v>
      </c>
      <c r="C7" s="8" t="s">
        <v>168</v>
      </c>
      <c r="D7" s="8" t="s">
        <v>168</v>
      </c>
      <c r="E7" s="8" t="s">
        <v>167</v>
      </c>
      <c r="F7" s="9" t="s">
        <v>103</v>
      </c>
    </row>
    <row r="8" customFormat="false" ht="15" hidden="false" customHeight="false" outlineLevel="0" collapsed="false">
      <c r="A8" s="9" t="s">
        <v>172</v>
      </c>
      <c r="B8" s="8" t="n">
        <v>28</v>
      </c>
      <c r="C8" s="8" t="n">
        <v>36</v>
      </c>
      <c r="D8" s="8" t="n">
        <v>48</v>
      </c>
      <c r="E8" s="8" t="n">
        <v>55</v>
      </c>
      <c r="F8" s="9" t="s">
        <v>173</v>
      </c>
    </row>
    <row r="9" customFormat="false" ht="15" hidden="false" customHeight="false" outlineLevel="0" collapsed="false">
      <c r="A9" s="9" t="s">
        <v>174</v>
      </c>
      <c r="B9" s="8" t="n">
        <v>24</v>
      </c>
      <c r="C9" s="8" t="n">
        <v>48</v>
      </c>
      <c r="D9" s="8" t="n">
        <v>48</v>
      </c>
      <c r="E9" s="8" t="n">
        <v>60</v>
      </c>
      <c r="F9" s="9" t="s">
        <v>175</v>
      </c>
    </row>
    <row r="10" customFormat="false" ht="15" hidden="false" customHeight="false" outlineLevel="0" collapsed="false">
      <c r="A10" s="9" t="s">
        <v>176</v>
      </c>
      <c r="B10" s="8" t="n">
        <v>148</v>
      </c>
      <c r="C10" s="8" t="n">
        <v>215</v>
      </c>
      <c r="D10" s="8" t="n">
        <v>290</v>
      </c>
      <c r="E10" s="8" t="n">
        <v>260</v>
      </c>
      <c r="F10" s="9" t="s">
        <v>177</v>
      </c>
    </row>
    <row r="11" customFormat="false" ht="15" hidden="false" customHeight="false" outlineLevel="0" collapsed="false">
      <c r="A11" s="9" t="s">
        <v>178</v>
      </c>
      <c r="B11" s="8" t="n">
        <v>1</v>
      </c>
      <c r="C11" s="8" t="n">
        <v>2</v>
      </c>
      <c r="D11" s="8" t="n">
        <v>2</v>
      </c>
      <c r="E11" s="8" t="n">
        <v>2</v>
      </c>
      <c r="F11" s="9" t="s">
        <v>179</v>
      </c>
    </row>
    <row r="12" customFormat="false" ht="15" hidden="false" customHeight="false" outlineLevel="0" collapsed="false">
      <c r="A12" s="9" t="s">
        <v>180</v>
      </c>
      <c r="B12" s="17" t="s">
        <v>181</v>
      </c>
      <c r="C12" s="18" t="s">
        <v>182</v>
      </c>
      <c r="D12" s="17" t="s">
        <v>181</v>
      </c>
      <c r="E12" s="19" t="s">
        <v>183</v>
      </c>
      <c r="F12" s="9" t="s">
        <v>184</v>
      </c>
    </row>
    <row r="13" customFormat="false" ht="15" hidden="false" customHeight="false" outlineLevel="0" collapsed="false">
      <c r="A13" s="9" t="s">
        <v>185</v>
      </c>
      <c r="B13" s="8" t="n">
        <v>22</v>
      </c>
      <c r="C13" s="8" t="n">
        <v>40</v>
      </c>
      <c r="D13" s="8" t="n">
        <v>20</v>
      </c>
      <c r="E13" s="8" t="n">
        <v>10</v>
      </c>
      <c r="F13" s="9" t="s">
        <v>186</v>
      </c>
    </row>
    <row r="14" customFormat="false" ht="15" hidden="false" customHeight="false" outlineLevel="0" collapsed="false">
      <c r="A14" s="9" t="s">
        <v>187</v>
      </c>
      <c r="B14" s="8" t="n">
        <v>12</v>
      </c>
      <c r="C14" s="8" t="n">
        <v>18</v>
      </c>
      <c r="D14" s="8" t="n">
        <v>10</v>
      </c>
      <c r="E14" s="8" t="n">
        <v>6</v>
      </c>
      <c r="F14" s="9" t="s">
        <v>188</v>
      </c>
    </row>
    <row r="16" customFormat="false" ht="22.35" hidden="false" customHeight="true" outlineLevel="0" collapsed="false">
      <c r="A16" s="13" t="s">
        <v>189</v>
      </c>
      <c r="B16" s="13"/>
      <c r="C16" s="13"/>
      <c r="D16" s="13"/>
      <c r="E16" s="13"/>
      <c r="F16" s="13"/>
    </row>
  </sheetData>
  <mergeCells count="2">
    <mergeCell ref="A1:I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52"/>
  </cols>
  <sheetData>
    <row r="1" customFormat="false" ht="21.75" hidden="false" customHeight="true" outlineLevel="0" collapsed="false">
      <c r="A1" s="6" t="s">
        <v>190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7" t="s">
        <v>191</v>
      </c>
      <c r="B3" s="7" t="s">
        <v>192</v>
      </c>
      <c r="C3" s="7" t="s">
        <v>193</v>
      </c>
      <c r="D3" s="7" t="s">
        <v>33</v>
      </c>
      <c r="E3" s="7" t="s">
        <v>194</v>
      </c>
      <c r="F3" s="7" t="s">
        <v>195</v>
      </c>
    </row>
    <row r="4" customFormat="false" ht="15" hidden="false" customHeight="false" outlineLevel="0" collapsed="false">
      <c r="A4" s="9" t="s">
        <v>40</v>
      </c>
      <c r="B4" s="9" t="s">
        <v>196</v>
      </c>
      <c r="C4" s="8" t="n">
        <v>2</v>
      </c>
      <c r="D4" s="8"/>
      <c r="E4" s="9" t="s">
        <v>197</v>
      </c>
      <c r="F4" s="9"/>
    </row>
    <row r="5" customFormat="false" ht="15" hidden="false" customHeight="false" outlineLevel="0" collapsed="false">
      <c r="A5" s="9" t="s">
        <v>44</v>
      </c>
      <c r="B5" s="9" t="s">
        <v>198</v>
      </c>
      <c r="C5" s="8" t="n">
        <v>3</v>
      </c>
      <c r="D5" s="8"/>
      <c r="E5" s="9" t="s">
        <v>199</v>
      </c>
      <c r="F5" s="9" t="s">
        <v>200</v>
      </c>
    </row>
    <row r="6" customFormat="false" ht="23.85" hidden="false" customHeight="false" outlineLevel="0" collapsed="false">
      <c r="A6" s="9" t="s">
        <v>48</v>
      </c>
      <c r="B6" s="9" t="s">
        <v>198</v>
      </c>
      <c r="C6" s="8" t="n">
        <v>1</v>
      </c>
      <c r="D6" s="8"/>
      <c r="E6" s="9" t="s">
        <v>201</v>
      </c>
      <c r="F6" s="9" t="s">
        <v>202</v>
      </c>
    </row>
    <row r="7" customFormat="false" ht="23.85" hidden="false" customHeight="false" outlineLevel="0" collapsed="false">
      <c r="A7" s="9" t="s">
        <v>52</v>
      </c>
      <c r="B7" s="9" t="s">
        <v>203</v>
      </c>
      <c r="C7" s="8" t="n">
        <v>2</v>
      </c>
      <c r="D7" s="8"/>
      <c r="E7" s="9" t="s">
        <v>204</v>
      </c>
      <c r="F7" s="9" t="s">
        <v>205</v>
      </c>
    </row>
    <row r="8" customFormat="false" ht="15" hidden="false" customHeight="false" outlineLevel="0" collapsed="false">
      <c r="A8" s="9" t="s">
        <v>56</v>
      </c>
      <c r="B8" s="9" t="s">
        <v>206</v>
      </c>
      <c r="C8" s="8" t="n">
        <v>2</v>
      </c>
      <c r="D8" s="8"/>
      <c r="E8" s="9" t="s">
        <v>207</v>
      </c>
      <c r="F8" s="9"/>
    </row>
    <row r="9" customFormat="false" ht="15" hidden="false" customHeight="false" outlineLevel="0" collapsed="false">
      <c r="A9" s="9" t="s">
        <v>61</v>
      </c>
      <c r="B9" s="9" t="s">
        <v>208</v>
      </c>
      <c r="C9" s="8" t="n">
        <v>2</v>
      </c>
      <c r="D9" s="8"/>
      <c r="E9" s="9" t="s">
        <v>209</v>
      </c>
      <c r="F9" s="9"/>
    </row>
    <row r="10" customFormat="false" ht="23.85" hidden="false" customHeight="false" outlineLevel="0" collapsed="false">
      <c r="A10" s="12" t="s">
        <v>79</v>
      </c>
      <c r="B10" s="12" t="s">
        <v>210</v>
      </c>
      <c r="C10" s="11" t="n">
        <v>1</v>
      </c>
      <c r="D10" s="11" t="s">
        <v>80</v>
      </c>
      <c r="E10" s="12" t="s">
        <v>211</v>
      </c>
      <c r="F10" s="12"/>
    </row>
    <row r="11" customFormat="false" ht="15" hidden="false" customHeight="false" outlineLevel="0" collapsed="false">
      <c r="A11" s="9" t="s">
        <v>84</v>
      </c>
      <c r="B11" s="9" t="s">
        <v>208</v>
      </c>
      <c r="C11" s="8" t="n">
        <v>1</v>
      </c>
      <c r="D11" s="8"/>
      <c r="E11" s="9" t="s">
        <v>212</v>
      </c>
      <c r="F11" s="9"/>
    </row>
    <row r="12" customFormat="false" ht="15" hidden="false" customHeight="false" outlineLevel="0" collapsed="false">
      <c r="A12" s="9" t="s">
        <v>89</v>
      </c>
      <c r="B12" s="9" t="s">
        <v>206</v>
      </c>
      <c r="C12" s="8" t="n">
        <v>2</v>
      </c>
      <c r="D12" s="8"/>
      <c r="E12" s="9" t="s">
        <v>90</v>
      </c>
      <c r="F12" s="9"/>
    </row>
    <row r="13" customFormat="false" ht="23.85" hidden="false" customHeight="false" outlineLevel="0" collapsed="false">
      <c r="A13" s="12" t="s">
        <v>93</v>
      </c>
      <c r="B13" s="12" t="s">
        <v>213</v>
      </c>
      <c r="C13" s="11" t="n">
        <v>3</v>
      </c>
      <c r="D13" s="11" t="s">
        <v>80</v>
      </c>
      <c r="E13" s="12" t="s">
        <v>214</v>
      </c>
      <c r="F13" s="12"/>
    </row>
    <row r="14" customFormat="false" ht="23.85" hidden="false" customHeight="false" outlineLevel="0" collapsed="false">
      <c r="A14" s="12" t="s">
        <v>98</v>
      </c>
      <c r="B14" s="12" t="s">
        <v>215</v>
      </c>
      <c r="C14" s="11" t="n">
        <v>2</v>
      </c>
      <c r="D14" s="11" t="s">
        <v>80</v>
      </c>
      <c r="E14" s="12" t="s">
        <v>216</v>
      </c>
      <c r="F14" s="12"/>
    </row>
    <row r="15" customFormat="false" ht="15" hidden="false" customHeight="false" outlineLevel="0" collapsed="false">
      <c r="A15" s="9" t="s">
        <v>102</v>
      </c>
      <c r="B15" s="9" t="s">
        <v>217</v>
      </c>
      <c r="C15" s="8" t="n">
        <v>2</v>
      </c>
      <c r="D15" s="8"/>
      <c r="E15" s="9" t="s">
        <v>218</v>
      </c>
      <c r="F15" s="9"/>
    </row>
    <row r="16" customFormat="false" ht="15" hidden="false" customHeight="false" outlineLevel="0" collapsed="false">
      <c r="A16" s="9" t="s">
        <v>107</v>
      </c>
      <c r="B16" s="9" t="s">
        <v>206</v>
      </c>
      <c r="C16" s="8" t="n">
        <v>1</v>
      </c>
      <c r="D16" s="8"/>
      <c r="E16" s="9" t="s">
        <v>219</v>
      </c>
      <c r="F16" s="9"/>
    </row>
    <row r="17" customFormat="false" ht="15" hidden="false" customHeight="false" outlineLevel="0" collapsed="false">
      <c r="A17" s="9" t="s">
        <v>112</v>
      </c>
      <c r="B17" s="9" t="s">
        <v>203</v>
      </c>
      <c r="C17" s="8" t="n">
        <v>1</v>
      </c>
      <c r="D17" s="8"/>
      <c r="E17" s="9" t="s">
        <v>220</v>
      </c>
      <c r="F17" s="9"/>
    </row>
    <row r="18" customFormat="false" ht="15" hidden="false" customHeight="false" outlineLevel="0" collapsed="false">
      <c r="A18" s="9" t="s">
        <v>116</v>
      </c>
      <c r="B18" s="9" t="s">
        <v>203</v>
      </c>
      <c r="C18" s="8" t="n">
        <v>2</v>
      </c>
      <c r="D18" s="8"/>
      <c r="E18" s="9" t="s">
        <v>117</v>
      </c>
      <c r="F18" s="9"/>
    </row>
    <row r="19" customFormat="false" ht="15" hidden="false" customHeight="false" outlineLevel="0" collapsed="false">
      <c r="A19" s="9" t="s">
        <v>120</v>
      </c>
      <c r="B19" s="9" t="s">
        <v>198</v>
      </c>
      <c r="C19" s="8" t="n">
        <v>2</v>
      </c>
      <c r="D19" s="8"/>
      <c r="E19" s="9" t="s">
        <v>121</v>
      </c>
      <c r="F19" s="9"/>
    </row>
    <row r="20" customFormat="false" ht="35.05" hidden="false" customHeight="false" outlineLevel="0" collapsed="false">
      <c r="A20" s="9" t="s">
        <v>123</v>
      </c>
      <c r="B20" s="9" t="s">
        <v>206</v>
      </c>
      <c r="C20" s="8" t="n">
        <v>2</v>
      </c>
      <c r="D20" s="8"/>
      <c r="E20" s="9" t="s">
        <v>124</v>
      </c>
      <c r="F20" s="9" t="s">
        <v>221</v>
      </c>
    </row>
    <row r="21" customFormat="false" ht="15" hidden="false" customHeight="false" outlineLevel="0" collapsed="false">
      <c r="A21" s="9" t="s">
        <v>127</v>
      </c>
      <c r="B21" s="9" t="s">
        <v>198</v>
      </c>
      <c r="C21" s="8" t="n">
        <v>1</v>
      </c>
      <c r="D21" s="8"/>
      <c r="E21" s="9" t="s">
        <v>222</v>
      </c>
      <c r="F21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7"/>
  </cols>
  <sheetData>
    <row r="1" customFormat="false" ht="21.75" hidden="false" customHeight="true" outlineLevel="0" collapsed="false">
      <c r="A1" s="6" t="s">
        <v>223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13" t="s">
        <v>224</v>
      </c>
      <c r="B2" s="13"/>
      <c r="C2" s="13"/>
      <c r="D2" s="13"/>
      <c r="E2" s="13"/>
      <c r="F2" s="13"/>
      <c r="G2" s="13"/>
      <c r="H2" s="13"/>
      <c r="I2" s="13"/>
    </row>
    <row r="4" customFormat="false" ht="23.85" hidden="false" customHeight="false" outlineLevel="0" collapsed="false">
      <c r="A4" s="7" t="s">
        <v>225</v>
      </c>
      <c r="B4" s="7" t="s">
        <v>226</v>
      </c>
      <c r="C4" s="7" t="s">
        <v>227</v>
      </c>
      <c r="D4" s="7" t="s">
        <v>228</v>
      </c>
      <c r="E4" s="7" t="s">
        <v>229</v>
      </c>
      <c r="F4" s="7" t="s">
        <v>230</v>
      </c>
      <c r="G4" s="7" t="s">
        <v>231</v>
      </c>
      <c r="H4" s="7" t="s">
        <v>232</v>
      </c>
      <c r="I4" s="7" t="s">
        <v>233</v>
      </c>
    </row>
    <row r="5" customFormat="false" ht="15" hidden="false" customHeight="false" outlineLevel="0" collapsed="false">
      <c r="A5" s="9" t="s">
        <v>154</v>
      </c>
      <c r="B5" s="20" t="n">
        <v>28</v>
      </c>
      <c r="C5" s="20" t="n">
        <v>3</v>
      </c>
      <c r="D5" s="8" t="n">
        <v>442</v>
      </c>
      <c r="E5" s="8" t="n">
        <f aca="false">ROUND(C5*D5/B5,0)</f>
        <v>47</v>
      </c>
      <c r="F5" s="8" t="n">
        <f aca="false">ROUND(C5*22*60*0.92/B5,0)</f>
        <v>130</v>
      </c>
      <c r="G5" s="20" t="n">
        <v>26</v>
      </c>
      <c r="H5" s="8" t="n">
        <f aca="false">ROUND(F5*G5,0)</f>
        <v>3380</v>
      </c>
      <c r="I5" s="8" t="n">
        <f aca="false">ROUND(H5*0.82,0)</f>
        <v>2772</v>
      </c>
    </row>
    <row r="6" customFormat="false" ht="15" hidden="false" customHeight="false" outlineLevel="0" collapsed="false">
      <c r="A6" s="9" t="s">
        <v>155</v>
      </c>
      <c r="B6" s="20" t="n">
        <v>36</v>
      </c>
      <c r="C6" s="20" t="n">
        <v>3</v>
      </c>
      <c r="D6" s="8" t="n">
        <v>442</v>
      </c>
      <c r="E6" s="8" t="n">
        <f aca="false">ROUND(C6*D6/B6,0)</f>
        <v>37</v>
      </c>
      <c r="F6" s="8" t="n">
        <f aca="false">ROUND(C6*22*60*0.92/B6,0)</f>
        <v>101</v>
      </c>
      <c r="G6" s="20" t="n">
        <v>26</v>
      </c>
      <c r="H6" s="8" t="n">
        <f aca="false">ROUND(F6*G6,0)</f>
        <v>2626</v>
      </c>
      <c r="I6" s="8" t="n">
        <f aca="false">ROUND(H6*0.82,0)</f>
        <v>2153</v>
      </c>
    </row>
    <row r="7" customFormat="false" ht="15" hidden="false" customHeight="false" outlineLevel="0" collapsed="false">
      <c r="A7" s="9" t="s">
        <v>156</v>
      </c>
      <c r="B7" s="20" t="n">
        <v>48</v>
      </c>
      <c r="C7" s="20" t="n">
        <v>3</v>
      </c>
      <c r="D7" s="8" t="n">
        <v>442</v>
      </c>
      <c r="E7" s="8" t="n">
        <f aca="false">ROUND(C7*D7/B7,0)</f>
        <v>28</v>
      </c>
      <c r="F7" s="8" t="n">
        <f aca="false">ROUND(C7*22*60*0.92/B7,0)</f>
        <v>76</v>
      </c>
      <c r="G7" s="20" t="n">
        <v>26</v>
      </c>
      <c r="H7" s="8" t="n">
        <f aca="false">ROUND(F7*G7,0)</f>
        <v>1976</v>
      </c>
      <c r="I7" s="8" t="n">
        <f aca="false">ROUND(H7*0.82,0)</f>
        <v>1620</v>
      </c>
    </row>
    <row r="8" customFormat="false" ht="15" hidden="false" customHeight="false" outlineLevel="0" collapsed="false">
      <c r="A8" s="9" t="s">
        <v>157</v>
      </c>
      <c r="B8" s="20" t="n">
        <v>55</v>
      </c>
      <c r="C8" s="20" t="n">
        <v>3</v>
      </c>
      <c r="D8" s="8" t="n">
        <v>442</v>
      </c>
      <c r="E8" s="8" t="n">
        <f aca="false">ROUND(C8*D8/B8,0)</f>
        <v>24</v>
      </c>
      <c r="F8" s="8" t="n">
        <f aca="false">ROUND(C8*22*60*0.92/B8,0)</f>
        <v>66</v>
      </c>
      <c r="G8" s="20" t="n">
        <v>26</v>
      </c>
      <c r="H8" s="8" t="n">
        <f aca="false">ROUND(F8*G8,0)</f>
        <v>1716</v>
      </c>
      <c r="I8" s="8" t="n">
        <f aca="false">ROUND(H8*0.82,0)</f>
        <v>1407</v>
      </c>
    </row>
    <row r="9" customFormat="false" ht="23.85" hidden="false" customHeight="false" outlineLevel="0" collapsed="false">
      <c r="A9" s="21" t="s">
        <v>234</v>
      </c>
      <c r="B9" s="22"/>
      <c r="C9" s="22"/>
      <c r="D9" s="22"/>
      <c r="E9" s="23" t="n">
        <f aca="false">SUM(E5:E8)</f>
        <v>136</v>
      </c>
      <c r="F9" s="23" t="n">
        <f aca="false">SUM(F5:F8)</f>
        <v>373</v>
      </c>
      <c r="G9" s="22"/>
      <c r="H9" s="23" t="n">
        <f aca="false">SUM(H5:H8)</f>
        <v>9698</v>
      </c>
      <c r="I9" s="23" t="n">
        <f aca="false">SUM(I5:I8)</f>
        <v>7952</v>
      </c>
    </row>
    <row r="11" customFormat="false" ht="22.35" hidden="false" customHeight="true" outlineLevel="0" collapsed="false">
      <c r="A11" s="13" t="s">
        <v>235</v>
      </c>
      <c r="B11" s="13"/>
      <c r="C11" s="13"/>
      <c r="D11" s="13"/>
      <c r="E11" s="13"/>
      <c r="F11" s="13"/>
      <c r="G11" s="13"/>
      <c r="H11" s="13"/>
      <c r="I11" s="13"/>
    </row>
  </sheetData>
  <mergeCells count="3">
    <mergeCell ref="A1:I1"/>
    <mergeCell ref="A2:I2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1.75" hidden="false" customHeight="true" outlineLevel="0" collapsed="false">
      <c r="A1" s="6" t="s">
        <v>236</v>
      </c>
      <c r="B1" s="6"/>
      <c r="C1" s="6"/>
      <c r="D1" s="6"/>
      <c r="E1" s="6"/>
      <c r="F1" s="6"/>
    </row>
    <row r="3" customFormat="false" ht="23.85" hidden="false" customHeight="false" outlineLevel="0" collapsed="false">
      <c r="A3" s="7" t="s">
        <v>237</v>
      </c>
      <c r="B3" s="7" t="s">
        <v>238</v>
      </c>
      <c r="C3" s="7" t="s">
        <v>239</v>
      </c>
      <c r="D3" s="7" t="s">
        <v>240</v>
      </c>
      <c r="E3" s="7" t="s">
        <v>241</v>
      </c>
      <c r="F3" s="7" t="s">
        <v>242</v>
      </c>
    </row>
    <row r="4" customFormat="false" ht="15" hidden="false" customHeight="false" outlineLevel="0" collapsed="false">
      <c r="A4" s="9" t="s">
        <v>243</v>
      </c>
      <c r="B4" s="9" t="s">
        <v>244</v>
      </c>
      <c r="C4" s="9" t="s">
        <v>245</v>
      </c>
      <c r="D4" s="8" t="s">
        <v>246</v>
      </c>
      <c r="E4" s="8" t="s">
        <v>247</v>
      </c>
      <c r="F4" s="8" t="s">
        <v>248</v>
      </c>
    </row>
    <row r="5" customFormat="false" ht="15" hidden="false" customHeight="false" outlineLevel="0" collapsed="false">
      <c r="A5" s="9" t="s">
        <v>243</v>
      </c>
      <c r="B5" s="9" t="s">
        <v>249</v>
      </c>
      <c r="C5" s="9" t="s">
        <v>250</v>
      </c>
      <c r="D5" s="8" t="s">
        <v>251</v>
      </c>
      <c r="E5" s="8" t="s">
        <v>252</v>
      </c>
      <c r="F5" s="8" t="s">
        <v>253</v>
      </c>
    </row>
    <row r="6" customFormat="false" ht="15" hidden="false" customHeight="false" outlineLevel="0" collapsed="false">
      <c r="A6" s="9" t="s">
        <v>48</v>
      </c>
      <c r="B6" s="9" t="s">
        <v>254</v>
      </c>
      <c r="C6" s="9" t="s">
        <v>255</v>
      </c>
      <c r="D6" s="8" t="s">
        <v>247</v>
      </c>
      <c r="E6" s="8" t="s">
        <v>256</v>
      </c>
      <c r="F6" s="8" t="s">
        <v>257</v>
      </c>
    </row>
    <row r="7" customFormat="false" ht="15" hidden="false" customHeight="false" outlineLevel="0" collapsed="false">
      <c r="A7" s="24" t="s">
        <v>258</v>
      </c>
      <c r="B7" s="24" t="s">
        <v>259</v>
      </c>
      <c r="C7" s="24" t="s">
        <v>260</v>
      </c>
      <c r="D7" s="25" t="s">
        <v>257</v>
      </c>
      <c r="E7" s="25" t="s">
        <v>261</v>
      </c>
      <c r="F7" s="25" t="s">
        <v>262</v>
      </c>
    </row>
    <row r="8" customFormat="false" ht="15" hidden="false" customHeight="false" outlineLevel="0" collapsed="false">
      <c r="A8" s="26" t="s">
        <v>258</v>
      </c>
      <c r="B8" s="26" t="s">
        <v>263</v>
      </c>
      <c r="C8" s="26" t="s">
        <v>264</v>
      </c>
      <c r="D8" s="27" t="s">
        <v>265</v>
      </c>
      <c r="E8" s="27" t="s">
        <v>257</v>
      </c>
      <c r="F8" s="27" t="s">
        <v>266</v>
      </c>
    </row>
    <row r="9" customFormat="false" ht="15" hidden="false" customHeight="false" outlineLevel="0" collapsed="false">
      <c r="A9" s="26" t="s">
        <v>258</v>
      </c>
      <c r="B9" s="26" t="s">
        <v>267</v>
      </c>
      <c r="C9" s="26" t="s">
        <v>268</v>
      </c>
      <c r="D9" s="27" t="s">
        <v>269</v>
      </c>
      <c r="E9" s="27" t="s">
        <v>265</v>
      </c>
      <c r="F9" s="27" t="s">
        <v>270</v>
      </c>
    </row>
    <row r="10" customFormat="false" ht="15" hidden="false" customHeight="false" outlineLevel="0" collapsed="false">
      <c r="A10" s="26" t="s">
        <v>258</v>
      </c>
      <c r="B10" s="26" t="s">
        <v>271</v>
      </c>
      <c r="C10" s="26" t="s">
        <v>272</v>
      </c>
      <c r="D10" s="27" t="s">
        <v>246</v>
      </c>
      <c r="E10" s="27" t="s">
        <v>273</v>
      </c>
      <c r="F10" s="27" t="s">
        <v>274</v>
      </c>
    </row>
    <row r="11" customFormat="false" ht="15" hidden="false" customHeight="false" outlineLevel="0" collapsed="false">
      <c r="A11" s="9" t="s">
        <v>258</v>
      </c>
      <c r="B11" s="9" t="s">
        <v>275</v>
      </c>
      <c r="C11" s="9" t="s">
        <v>276</v>
      </c>
      <c r="D11" s="8" t="s">
        <v>265</v>
      </c>
      <c r="E11" s="8" t="s">
        <v>277</v>
      </c>
      <c r="F11" s="8" t="s">
        <v>278</v>
      </c>
    </row>
    <row r="12" customFormat="false" ht="15" hidden="false" customHeight="false" outlineLevel="0" collapsed="false">
      <c r="A12" s="9" t="s">
        <v>258</v>
      </c>
      <c r="B12" s="9" t="s">
        <v>279</v>
      </c>
      <c r="C12" s="9" t="s">
        <v>280</v>
      </c>
      <c r="D12" s="8" t="s">
        <v>269</v>
      </c>
      <c r="E12" s="8" t="s">
        <v>257</v>
      </c>
      <c r="F12" s="8" t="s">
        <v>266</v>
      </c>
    </row>
    <row r="13" customFormat="false" ht="15" hidden="false" customHeight="false" outlineLevel="0" collapsed="false">
      <c r="A13" s="9" t="s">
        <v>258</v>
      </c>
      <c r="B13" s="9" t="s">
        <v>281</v>
      </c>
      <c r="C13" s="9" t="s">
        <v>282</v>
      </c>
      <c r="D13" s="8" t="s">
        <v>283</v>
      </c>
      <c r="E13" s="8" t="s">
        <v>284</v>
      </c>
      <c r="F13" s="8" t="s">
        <v>285</v>
      </c>
    </row>
    <row r="14" customFormat="false" ht="15" hidden="false" customHeight="false" outlineLevel="0" collapsed="false">
      <c r="A14" s="9" t="s">
        <v>286</v>
      </c>
      <c r="B14" s="9" t="s">
        <v>287</v>
      </c>
      <c r="C14" s="9" t="s">
        <v>288</v>
      </c>
      <c r="D14" s="8" t="s">
        <v>289</v>
      </c>
      <c r="E14" s="8" t="s">
        <v>290</v>
      </c>
      <c r="F14" s="8" t="s">
        <v>291</v>
      </c>
    </row>
    <row r="15" customFormat="false" ht="15" hidden="false" customHeight="false" outlineLevel="0" collapsed="false">
      <c r="A15" s="9" t="s">
        <v>286</v>
      </c>
      <c r="B15" s="9" t="s">
        <v>292</v>
      </c>
      <c r="C15" s="9" t="s">
        <v>293</v>
      </c>
      <c r="D15" s="8" t="s">
        <v>294</v>
      </c>
      <c r="E15" s="8" t="s">
        <v>295</v>
      </c>
      <c r="F15" s="8" t="s">
        <v>296</v>
      </c>
    </row>
    <row r="16" customFormat="false" ht="15" hidden="false" customHeight="false" outlineLevel="0" collapsed="false">
      <c r="A16" s="9" t="s">
        <v>286</v>
      </c>
      <c r="B16" s="9" t="s">
        <v>297</v>
      </c>
      <c r="C16" s="9" t="s">
        <v>298</v>
      </c>
      <c r="D16" s="8" t="s">
        <v>289</v>
      </c>
      <c r="E16" s="8" t="s">
        <v>296</v>
      </c>
      <c r="F16" s="8" t="s">
        <v>299</v>
      </c>
    </row>
    <row r="17" customFormat="false" ht="15" hidden="false" customHeight="false" outlineLevel="0" collapsed="false">
      <c r="A17" s="9" t="s">
        <v>300</v>
      </c>
      <c r="B17" s="9" t="s">
        <v>301</v>
      </c>
      <c r="C17" s="9" t="s">
        <v>302</v>
      </c>
      <c r="D17" s="8" t="s">
        <v>303</v>
      </c>
      <c r="E17" s="8" t="s">
        <v>247</v>
      </c>
      <c r="F17" s="8" t="s">
        <v>248</v>
      </c>
    </row>
    <row r="18" customFormat="false" ht="15" hidden="false" customHeight="false" outlineLevel="0" collapsed="false">
      <c r="A18" s="24" t="s">
        <v>304</v>
      </c>
      <c r="B18" s="24" t="s">
        <v>305</v>
      </c>
      <c r="C18" s="24" t="s">
        <v>306</v>
      </c>
      <c r="D18" s="25" t="s">
        <v>247</v>
      </c>
      <c r="E18" s="25" t="s">
        <v>269</v>
      </c>
      <c r="F18" s="25" t="s">
        <v>265</v>
      </c>
    </row>
    <row r="19" customFormat="false" ht="15" hidden="false" customHeight="false" outlineLevel="0" collapsed="false">
      <c r="A19" s="9" t="s">
        <v>304</v>
      </c>
      <c r="B19" s="9" t="s">
        <v>307</v>
      </c>
      <c r="C19" s="9" t="s">
        <v>308</v>
      </c>
      <c r="D19" s="8" t="s">
        <v>309</v>
      </c>
      <c r="E19" s="8" t="s">
        <v>310</v>
      </c>
      <c r="F19" s="8" t="s">
        <v>311</v>
      </c>
    </row>
    <row r="20" customFormat="false" ht="15" hidden="false" customHeight="false" outlineLevel="0" collapsed="false">
      <c r="A20" s="9" t="s">
        <v>312</v>
      </c>
      <c r="B20" s="9" t="s">
        <v>313</v>
      </c>
      <c r="C20" s="9" t="s">
        <v>314</v>
      </c>
      <c r="D20" s="8" t="s">
        <v>315</v>
      </c>
      <c r="E20" s="8" t="s">
        <v>316</v>
      </c>
      <c r="F20" s="8" t="s">
        <v>317</v>
      </c>
    </row>
    <row r="22" customFormat="false" ht="22.35" hidden="false" customHeight="true" outlineLevel="0" collapsed="false">
      <c r="A22" s="13" t="s">
        <v>318</v>
      </c>
      <c r="B22" s="13"/>
      <c r="C22" s="13"/>
      <c r="D22" s="13"/>
      <c r="E22" s="13"/>
      <c r="F22" s="13"/>
    </row>
    <row r="24" customFormat="false" ht="22.35" hidden="false" customHeight="true" outlineLevel="0" collapsed="false">
      <c r="A24" s="13" t="s">
        <v>319</v>
      </c>
      <c r="B24" s="13"/>
      <c r="C24" s="13"/>
      <c r="D24" s="13"/>
      <c r="E24" s="13"/>
      <c r="F24" s="13"/>
    </row>
  </sheetData>
  <mergeCells count="3">
    <mergeCell ref="A1:F1"/>
    <mergeCell ref="A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21.75" hidden="false" customHeight="true" outlineLevel="0" collapsed="false">
      <c r="A1" s="6" t="s">
        <v>320</v>
      </c>
      <c r="B1" s="6"/>
      <c r="C1" s="6"/>
      <c r="D1" s="6"/>
      <c r="E1" s="6"/>
    </row>
    <row r="3" customFormat="false" ht="15" hidden="false" customHeight="false" outlineLevel="0" collapsed="false">
      <c r="A3" s="7" t="s">
        <v>321</v>
      </c>
      <c r="B3" s="7" t="s">
        <v>322</v>
      </c>
      <c r="C3" s="7" t="s">
        <v>323</v>
      </c>
      <c r="D3" s="7" t="s">
        <v>324</v>
      </c>
      <c r="E3" s="7" t="s">
        <v>34</v>
      </c>
    </row>
    <row r="4" customFormat="false" ht="15" hidden="false" customHeight="false" outlineLevel="0" collapsed="false">
      <c r="A4" s="9" t="s">
        <v>325</v>
      </c>
      <c r="B4" s="8" t="s">
        <v>326</v>
      </c>
      <c r="C4" s="8" t="s">
        <v>327</v>
      </c>
      <c r="D4" s="8" t="s">
        <v>328</v>
      </c>
      <c r="E4" s="9" t="s">
        <v>329</v>
      </c>
    </row>
    <row r="5" customFormat="false" ht="15" hidden="false" customHeight="false" outlineLevel="0" collapsed="false">
      <c r="A5" s="9" t="s">
        <v>330</v>
      </c>
      <c r="B5" s="8" t="s">
        <v>327</v>
      </c>
      <c r="C5" s="8" t="s">
        <v>331</v>
      </c>
      <c r="D5" s="8" t="s">
        <v>328</v>
      </c>
      <c r="E5" s="9" t="s">
        <v>332</v>
      </c>
    </row>
    <row r="6" customFormat="false" ht="15" hidden="false" customHeight="false" outlineLevel="0" collapsed="false">
      <c r="A6" s="9" t="s">
        <v>333</v>
      </c>
      <c r="B6" s="8" t="s">
        <v>331</v>
      </c>
      <c r="C6" s="8" t="s">
        <v>326</v>
      </c>
      <c r="D6" s="8" t="s">
        <v>328</v>
      </c>
      <c r="E6" s="9" t="s">
        <v>334</v>
      </c>
    </row>
    <row r="8" customFormat="false" ht="15" hidden="false" customHeight="false" outlineLevel="0" collapsed="false">
      <c r="A8" s="14" t="s">
        <v>335</v>
      </c>
    </row>
    <row r="9" customFormat="false" ht="15" hidden="false" customHeight="false" outlineLevel="0" collapsed="false">
      <c r="A9" s="28" t="s">
        <v>336</v>
      </c>
      <c r="B9" s="29" t="s">
        <v>337</v>
      </c>
      <c r="C9" s="30" t="s">
        <v>338</v>
      </c>
      <c r="D9" s="30"/>
      <c r="E9" s="30"/>
    </row>
    <row r="10" customFormat="false" ht="15" hidden="false" customHeight="false" outlineLevel="0" collapsed="false">
      <c r="A10" s="28" t="s">
        <v>339</v>
      </c>
      <c r="B10" s="29" t="s">
        <v>340</v>
      </c>
      <c r="C10" s="30" t="s">
        <v>341</v>
      </c>
      <c r="D10" s="30"/>
      <c r="E10" s="30"/>
    </row>
    <row r="11" customFormat="false" ht="15" hidden="false" customHeight="false" outlineLevel="0" collapsed="false">
      <c r="A11" s="28" t="s">
        <v>342</v>
      </c>
      <c r="B11" s="29" t="s">
        <v>343</v>
      </c>
      <c r="C11" s="30" t="s">
        <v>344</v>
      </c>
      <c r="D11" s="30"/>
      <c r="E11" s="30"/>
    </row>
    <row r="12" customFormat="false" ht="15" hidden="false" customHeight="false" outlineLevel="0" collapsed="false">
      <c r="A12" s="28" t="s">
        <v>345</v>
      </c>
      <c r="B12" s="29" t="s">
        <v>346</v>
      </c>
      <c r="C12" s="30" t="s">
        <v>347</v>
      </c>
      <c r="D12" s="30"/>
      <c r="E12" s="30"/>
    </row>
    <row r="13" customFormat="false" ht="15" hidden="false" customHeight="false" outlineLevel="0" collapsed="false">
      <c r="A13" s="28" t="s">
        <v>348</v>
      </c>
      <c r="B13" s="29" t="s">
        <v>97</v>
      </c>
      <c r="C13" s="30" t="s">
        <v>349</v>
      </c>
      <c r="D13" s="30"/>
      <c r="E13" s="30"/>
    </row>
  </sheetData>
  <mergeCells count="6">
    <mergeCell ref="A1:E1"/>
    <mergeCell ref="C9:E9"/>
    <mergeCell ref="C10:E10"/>
    <mergeCell ref="C11:E11"/>
    <mergeCell ref="C12:E12"/>
    <mergeCell ref="C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28"/>
  </cols>
  <sheetData>
    <row r="1" customFormat="false" ht="21.75" hidden="false" customHeight="true" outlineLevel="0" collapsed="false">
      <c r="A1" s="6" t="s">
        <v>350</v>
      </c>
      <c r="B1" s="6"/>
      <c r="C1" s="6"/>
      <c r="D1" s="6"/>
      <c r="E1" s="6"/>
      <c r="F1" s="6"/>
      <c r="G1" s="6"/>
      <c r="H1" s="6"/>
    </row>
    <row r="3" customFormat="false" ht="15" hidden="false" customHeight="false" outlineLevel="0" collapsed="false">
      <c r="A3" s="7" t="s">
        <v>351</v>
      </c>
      <c r="B3" s="7" t="s">
        <v>352</v>
      </c>
      <c r="C3" s="7" t="s">
        <v>192</v>
      </c>
      <c r="D3" s="7" t="s">
        <v>353</v>
      </c>
      <c r="E3" s="7" t="s">
        <v>354</v>
      </c>
      <c r="F3" s="7" t="s">
        <v>355</v>
      </c>
      <c r="G3" s="7" t="s">
        <v>356</v>
      </c>
      <c r="H3" s="7" t="s">
        <v>34</v>
      </c>
    </row>
    <row r="4" customFormat="false" ht="15" hidden="false" customHeight="false" outlineLevel="0" collapsed="false">
      <c r="A4" s="9" t="s">
        <v>357</v>
      </c>
      <c r="B4" s="9" t="s">
        <v>358</v>
      </c>
      <c r="C4" s="9" t="s">
        <v>359</v>
      </c>
      <c r="D4" s="8" t="n">
        <v>5</v>
      </c>
      <c r="E4" s="31" t="n">
        <v>46213</v>
      </c>
      <c r="F4" s="31" t="n">
        <v>46240</v>
      </c>
      <c r="G4" s="8" t="n">
        <v>5</v>
      </c>
      <c r="H4" s="9" t="s">
        <v>360</v>
      </c>
    </row>
    <row r="5" customFormat="false" ht="15" hidden="false" customHeight="false" outlineLevel="0" collapsed="false">
      <c r="A5" s="9" t="s">
        <v>361</v>
      </c>
      <c r="B5" s="9" t="s">
        <v>358</v>
      </c>
      <c r="C5" s="9" t="s">
        <v>359</v>
      </c>
      <c r="D5" s="8" t="n">
        <v>30</v>
      </c>
      <c r="E5" s="31" t="n">
        <v>46210</v>
      </c>
      <c r="F5" s="31" t="n">
        <v>46248</v>
      </c>
      <c r="G5" s="8" t="n">
        <v>7</v>
      </c>
      <c r="H5" s="9" t="s">
        <v>362</v>
      </c>
    </row>
    <row r="6" customFormat="false" ht="15" hidden="false" customHeight="false" outlineLevel="0" collapsed="false">
      <c r="A6" s="9" t="s">
        <v>363</v>
      </c>
      <c r="B6" s="9" t="s">
        <v>358</v>
      </c>
      <c r="C6" s="9" t="s">
        <v>359</v>
      </c>
      <c r="D6" s="8" t="n">
        <v>8</v>
      </c>
      <c r="E6" s="31" t="n">
        <v>46212</v>
      </c>
      <c r="F6" s="31" t="n">
        <v>46239</v>
      </c>
      <c r="G6" s="8" t="n">
        <v>8</v>
      </c>
      <c r="H6" s="9" t="s">
        <v>364</v>
      </c>
    </row>
    <row r="7" customFormat="false" ht="15" hidden="false" customHeight="false" outlineLevel="0" collapsed="false">
      <c r="A7" s="9" t="s">
        <v>365</v>
      </c>
      <c r="B7" s="9" t="s">
        <v>358</v>
      </c>
      <c r="C7" s="9" t="s">
        <v>359</v>
      </c>
      <c r="D7" s="8" t="n">
        <v>30</v>
      </c>
      <c r="E7" s="31" t="n">
        <v>46212</v>
      </c>
      <c r="F7" s="31" t="n">
        <v>46234</v>
      </c>
      <c r="G7" s="8" t="n">
        <v>10</v>
      </c>
      <c r="H7" s="9" t="s">
        <v>366</v>
      </c>
    </row>
    <row r="8" customFormat="false" ht="15" hidden="false" customHeight="false" outlineLevel="0" collapsed="false">
      <c r="A8" s="9" t="s">
        <v>367</v>
      </c>
      <c r="B8" s="9" t="s">
        <v>368</v>
      </c>
      <c r="C8" s="9" t="s">
        <v>369</v>
      </c>
      <c r="D8" s="8" t="n">
        <v>40</v>
      </c>
      <c r="E8" s="31" t="n">
        <v>46209</v>
      </c>
      <c r="F8" s="31" t="n">
        <v>46231</v>
      </c>
      <c r="G8" s="8" t="n">
        <v>6</v>
      </c>
      <c r="H8" s="9" t="s">
        <v>370</v>
      </c>
    </row>
    <row r="9" customFormat="false" ht="15" hidden="false" customHeight="false" outlineLevel="0" collapsed="false">
      <c r="A9" s="9" t="s">
        <v>371</v>
      </c>
      <c r="B9" s="9" t="s">
        <v>368</v>
      </c>
      <c r="C9" s="9" t="s">
        <v>369</v>
      </c>
      <c r="D9" s="8" t="n">
        <v>25</v>
      </c>
      <c r="E9" s="31" t="n">
        <v>46211</v>
      </c>
      <c r="F9" s="31" t="n">
        <v>46233</v>
      </c>
      <c r="G9" s="8" t="n">
        <v>5</v>
      </c>
      <c r="H9" s="9" t="s">
        <v>370</v>
      </c>
    </row>
    <row r="10" customFormat="false" ht="15" hidden="false" customHeight="false" outlineLevel="0" collapsed="false">
      <c r="A10" s="9" t="s">
        <v>372</v>
      </c>
      <c r="B10" s="9" t="s">
        <v>368</v>
      </c>
      <c r="C10" s="9" t="s">
        <v>369</v>
      </c>
      <c r="D10" s="8" t="n">
        <v>50</v>
      </c>
      <c r="E10" s="31" t="n">
        <v>46208</v>
      </c>
      <c r="F10" s="31" t="n">
        <v>46230</v>
      </c>
      <c r="G10" s="8" t="n">
        <v>7</v>
      </c>
      <c r="H10" s="9" t="s">
        <v>373</v>
      </c>
    </row>
    <row r="11" customFormat="false" ht="15" hidden="false" customHeight="false" outlineLevel="0" collapsed="false">
      <c r="A11" s="9" t="s">
        <v>374</v>
      </c>
      <c r="B11" s="9" t="s">
        <v>368</v>
      </c>
      <c r="C11" s="9" t="s">
        <v>369</v>
      </c>
      <c r="D11" s="8" t="n">
        <v>18</v>
      </c>
      <c r="E11" s="31" t="n">
        <v>46214</v>
      </c>
      <c r="F11" s="31" t="n">
        <v>46237</v>
      </c>
      <c r="G11" s="8" t="n">
        <v>4</v>
      </c>
      <c r="H11" s="9" t="s">
        <v>370</v>
      </c>
    </row>
    <row r="12" customFormat="false" ht="15" hidden="false" customHeight="false" outlineLevel="0" collapsed="false">
      <c r="A12" s="9" t="s">
        <v>375</v>
      </c>
      <c r="B12" s="9" t="s">
        <v>368</v>
      </c>
      <c r="C12" s="9" t="s">
        <v>369</v>
      </c>
      <c r="D12" s="8" t="n">
        <v>35</v>
      </c>
      <c r="E12" s="31" t="n">
        <v>46213</v>
      </c>
      <c r="F12" s="31" t="n">
        <v>46235</v>
      </c>
      <c r="G12" s="8" t="n">
        <v>6</v>
      </c>
      <c r="H12" s="9" t="s">
        <v>370</v>
      </c>
    </row>
    <row r="13" customFormat="false" ht="15" hidden="false" customHeight="false" outlineLevel="0" collapsed="false">
      <c r="A13" s="9" t="s">
        <v>376</v>
      </c>
      <c r="B13" s="9" t="s">
        <v>368</v>
      </c>
      <c r="C13" s="9" t="s">
        <v>369</v>
      </c>
      <c r="D13" s="8" t="n">
        <v>22</v>
      </c>
      <c r="E13" s="31" t="n">
        <v>46215</v>
      </c>
      <c r="F13" s="31" t="n">
        <v>46241</v>
      </c>
      <c r="G13" s="8" t="n">
        <v>5</v>
      </c>
      <c r="H13" s="9" t="s">
        <v>370</v>
      </c>
    </row>
    <row r="14" customFormat="false" ht="15" hidden="false" customHeight="false" outlineLevel="0" collapsed="false">
      <c r="A14" s="9" t="s">
        <v>377</v>
      </c>
      <c r="B14" s="9" t="s">
        <v>378</v>
      </c>
      <c r="C14" s="9" t="s">
        <v>379</v>
      </c>
      <c r="D14" s="8" t="n">
        <v>15</v>
      </c>
      <c r="E14" s="31" t="n">
        <v>46210</v>
      </c>
      <c r="F14" s="31" t="n">
        <v>46232</v>
      </c>
      <c r="G14" s="8" t="n">
        <v>5</v>
      </c>
      <c r="H14" s="9" t="s">
        <v>380</v>
      </c>
    </row>
    <row r="15" customFormat="false" ht="15" hidden="false" customHeight="false" outlineLevel="0" collapsed="false">
      <c r="A15" s="9" t="s">
        <v>381</v>
      </c>
      <c r="B15" s="9" t="s">
        <v>378</v>
      </c>
      <c r="C15" s="9" t="s">
        <v>379</v>
      </c>
      <c r="D15" s="8" t="n">
        <v>20</v>
      </c>
      <c r="E15" s="31" t="n">
        <v>46212</v>
      </c>
      <c r="F15" s="31" t="n">
        <v>46236</v>
      </c>
      <c r="G15" s="8" t="n">
        <v>6</v>
      </c>
      <c r="H15" s="9" t="s">
        <v>382</v>
      </c>
    </row>
    <row r="16" customFormat="false" ht="15" hidden="false" customHeight="false" outlineLevel="0" collapsed="false">
      <c r="A16" s="9" t="s">
        <v>383</v>
      </c>
      <c r="B16" s="9" t="s">
        <v>378</v>
      </c>
      <c r="C16" s="9" t="s">
        <v>379</v>
      </c>
      <c r="D16" s="8" t="n">
        <v>12</v>
      </c>
      <c r="E16" s="31" t="n">
        <v>46214</v>
      </c>
      <c r="F16" s="31" t="n">
        <v>46238</v>
      </c>
      <c r="G16" s="8" t="n">
        <v>4</v>
      </c>
      <c r="H16" s="9" t="s">
        <v>380</v>
      </c>
    </row>
    <row r="17" customFormat="false" ht="15" hidden="false" customHeight="false" outlineLevel="0" collapsed="false">
      <c r="A17" s="9" t="s">
        <v>384</v>
      </c>
      <c r="B17" s="9" t="s">
        <v>378</v>
      </c>
      <c r="C17" s="9" t="s">
        <v>379</v>
      </c>
      <c r="D17" s="8" t="n">
        <v>28</v>
      </c>
      <c r="E17" s="31" t="n">
        <v>46209</v>
      </c>
      <c r="F17" s="31" t="n">
        <v>46233</v>
      </c>
      <c r="G17" s="8" t="n">
        <v>7</v>
      </c>
      <c r="H17" s="9" t="s">
        <v>385</v>
      </c>
    </row>
    <row r="18" customFormat="false" ht="15" hidden="false" customHeight="false" outlineLevel="0" collapsed="false">
      <c r="A18" s="9" t="s">
        <v>386</v>
      </c>
      <c r="B18" s="9" t="s">
        <v>378</v>
      </c>
      <c r="C18" s="9" t="s">
        <v>379</v>
      </c>
      <c r="D18" s="8" t="n">
        <v>10</v>
      </c>
      <c r="E18" s="31" t="n">
        <v>46216</v>
      </c>
      <c r="F18" s="31" t="n">
        <v>46243</v>
      </c>
      <c r="G18" s="8" t="n">
        <v>3</v>
      </c>
      <c r="H18" s="9" t="s">
        <v>370</v>
      </c>
    </row>
    <row r="19" customFormat="false" ht="15" hidden="false" customHeight="false" outlineLevel="0" collapsed="false">
      <c r="A19" s="9" t="s">
        <v>387</v>
      </c>
      <c r="B19" s="9" t="s">
        <v>388</v>
      </c>
      <c r="C19" s="9" t="s">
        <v>389</v>
      </c>
      <c r="D19" s="8" t="n">
        <v>6</v>
      </c>
      <c r="E19" s="31" t="n">
        <v>46211</v>
      </c>
      <c r="F19" s="31" t="n">
        <v>46235</v>
      </c>
      <c r="G19" s="8" t="n">
        <v>5</v>
      </c>
      <c r="H19" s="9" t="s">
        <v>390</v>
      </c>
    </row>
    <row r="20" customFormat="false" ht="15" hidden="false" customHeight="false" outlineLevel="0" collapsed="false">
      <c r="A20" s="9" t="s">
        <v>391</v>
      </c>
      <c r="B20" s="9" t="s">
        <v>388</v>
      </c>
      <c r="C20" s="9" t="s">
        <v>389</v>
      </c>
      <c r="D20" s="8" t="n">
        <v>4</v>
      </c>
      <c r="E20" s="31" t="n">
        <v>46213</v>
      </c>
      <c r="F20" s="31" t="n">
        <v>46240</v>
      </c>
      <c r="G20" s="8" t="n">
        <v>6</v>
      </c>
      <c r="H20" s="9" t="s">
        <v>390</v>
      </c>
    </row>
    <row r="21" customFormat="false" ht="15" hidden="false" customHeight="false" outlineLevel="0" collapsed="false">
      <c r="A21" s="9" t="s">
        <v>392</v>
      </c>
      <c r="B21" s="9" t="s">
        <v>388</v>
      </c>
      <c r="C21" s="9" t="s">
        <v>389</v>
      </c>
      <c r="D21" s="8" t="n">
        <v>8</v>
      </c>
      <c r="E21" s="31" t="n">
        <v>46210</v>
      </c>
      <c r="F21" s="31" t="n">
        <v>46234</v>
      </c>
      <c r="G21" s="8" t="n">
        <v>8</v>
      </c>
      <c r="H21" s="9" t="s">
        <v>393</v>
      </c>
    </row>
    <row r="22" customFormat="false" ht="15" hidden="false" customHeight="false" outlineLevel="0" collapsed="false">
      <c r="A22" s="9" t="s">
        <v>394</v>
      </c>
      <c r="B22" s="9" t="s">
        <v>388</v>
      </c>
      <c r="C22" s="9" t="s">
        <v>389</v>
      </c>
      <c r="D22" s="8" t="n">
        <v>5</v>
      </c>
      <c r="E22" s="31" t="n">
        <v>46215</v>
      </c>
      <c r="F22" s="31" t="n">
        <v>46242</v>
      </c>
      <c r="G22" s="8" t="n">
        <v>4</v>
      </c>
      <c r="H22" s="9" t="s">
        <v>370</v>
      </c>
    </row>
    <row r="23" customFormat="false" ht="15" hidden="false" customHeight="false" outlineLevel="0" collapsed="false">
      <c r="A23" s="9" t="s">
        <v>395</v>
      </c>
      <c r="B23" s="9" t="s">
        <v>388</v>
      </c>
      <c r="C23" s="9" t="s">
        <v>389</v>
      </c>
      <c r="D23" s="8" t="n">
        <v>7</v>
      </c>
      <c r="E23" s="31" t="n">
        <v>46212</v>
      </c>
      <c r="F23" s="31" t="n">
        <v>46237</v>
      </c>
      <c r="G23" s="8" t="n">
        <v>5</v>
      </c>
      <c r="H23" s="9" t="s">
        <v>370</v>
      </c>
    </row>
    <row r="24" customFormat="false" ht="15" hidden="false" customHeight="false" outlineLevel="0" collapsed="false">
      <c r="A24" s="9" t="s">
        <v>396</v>
      </c>
      <c r="B24" s="9" t="s">
        <v>368</v>
      </c>
      <c r="C24" s="9" t="s">
        <v>369</v>
      </c>
      <c r="D24" s="8" t="n">
        <v>30</v>
      </c>
      <c r="E24" s="31" t="n">
        <v>46216</v>
      </c>
      <c r="F24" s="31" t="n">
        <v>46244</v>
      </c>
      <c r="G24" s="8" t="n">
        <v>6</v>
      </c>
      <c r="H24" s="9" t="s">
        <v>370</v>
      </c>
    </row>
    <row r="25" customFormat="false" ht="15" hidden="false" customHeight="false" outlineLevel="0" collapsed="false">
      <c r="A25" s="9" t="s">
        <v>397</v>
      </c>
      <c r="B25" s="9" t="s">
        <v>358</v>
      </c>
      <c r="C25" s="9" t="s">
        <v>359</v>
      </c>
      <c r="D25" s="8" t="n">
        <v>12</v>
      </c>
      <c r="E25" s="31" t="n">
        <v>46214</v>
      </c>
      <c r="F25" s="31" t="n">
        <v>46241</v>
      </c>
      <c r="G25" s="8" t="n">
        <v>5</v>
      </c>
      <c r="H25" s="9" t="s">
        <v>370</v>
      </c>
    </row>
    <row r="26" customFormat="false" ht="15" hidden="false" customHeight="false" outlineLevel="0" collapsed="false">
      <c r="A26" s="9" t="s">
        <v>398</v>
      </c>
      <c r="B26" s="9" t="s">
        <v>368</v>
      </c>
      <c r="C26" s="9" t="s">
        <v>369</v>
      </c>
      <c r="D26" s="8" t="n">
        <v>45</v>
      </c>
      <c r="E26" s="31" t="n">
        <v>46217</v>
      </c>
      <c r="F26" s="31" t="n">
        <v>46239</v>
      </c>
      <c r="G26" s="8" t="n">
        <v>7</v>
      </c>
      <c r="H26" s="9" t="s">
        <v>373</v>
      </c>
    </row>
    <row r="27" customFormat="false" ht="15" hidden="false" customHeight="false" outlineLevel="0" collapsed="false">
      <c r="A27" s="9" t="s">
        <v>399</v>
      </c>
      <c r="B27" s="9" t="s">
        <v>368</v>
      </c>
      <c r="C27" s="9" t="s">
        <v>369</v>
      </c>
      <c r="D27" s="8" t="n">
        <v>28</v>
      </c>
      <c r="E27" s="31" t="n">
        <v>46218</v>
      </c>
      <c r="F27" s="31" t="n">
        <v>46242</v>
      </c>
      <c r="G27" s="8" t="n">
        <v>5</v>
      </c>
      <c r="H27" s="9" t="s">
        <v>370</v>
      </c>
    </row>
    <row r="28" customFormat="false" ht="15" hidden="false" customHeight="false" outlineLevel="0" collapsed="false">
      <c r="A28" s="9" t="s">
        <v>400</v>
      </c>
      <c r="B28" s="9" t="s">
        <v>368</v>
      </c>
      <c r="C28" s="9" t="s">
        <v>369</v>
      </c>
      <c r="D28" s="8" t="n">
        <v>33</v>
      </c>
      <c r="E28" s="31" t="n">
        <v>46217</v>
      </c>
      <c r="F28" s="31" t="n">
        <v>46240</v>
      </c>
      <c r="G28" s="8" t="n">
        <v>6</v>
      </c>
      <c r="H28" s="9" t="s">
        <v>370</v>
      </c>
    </row>
    <row r="29" customFormat="false" ht="15" hidden="false" customHeight="false" outlineLevel="0" collapsed="false">
      <c r="A29" s="9" t="s">
        <v>401</v>
      </c>
      <c r="B29" s="9" t="s">
        <v>378</v>
      </c>
      <c r="C29" s="9" t="s">
        <v>379</v>
      </c>
      <c r="D29" s="8" t="n">
        <v>22</v>
      </c>
      <c r="E29" s="31" t="n">
        <v>46218</v>
      </c>
      <c r="F29" s="31" t="n">
        <v>46243</v>
      </c>
      <c r="G29" s="8" t="n">
        <v>5</v>
      </c>
      <c r="H29" s="9" t="s">
        <v>380</v>
      </c>
    </row>
    <row r="30" customFormat="false" ht="15" hidden="false" customHeight="false" outlineLevel="0" collapsed="false">
      <c r="A30" s="9" t="s">
        <v>402</v>
      </c>
      <c r="B30" s="9" t="s">
        <v>378</v>
      </c>
      <c r="C30" s="9" t="s">
        <v>379</v>
      </c>
      <c r="D30" s="8" t="n">
        <v>18</v>
      </c>
      <c r="E30" s="31" t="n">
        <v>46219</v>
      </c>
      <c r="F30" s="31" t="n">
        <v>46245</v>
      </c>
      <c r="G30" s="8" t="n">
        <v>4</v>
      </c>
      <c r="H30" s="9" t="s">
        <v>382</v>
      </c>
    </row>
    <row r="31" customFormat="false" ht="15" hidden="false" customHeight="false" outlineLevel="0" collapsed="false">
      <c r="A31" s="9" t="s">
        <v>403</v>
      </c>
      <c r="B31" s="9" t="s">
        <v>358</v>
      </c>
      <c r="C31" s="9" t="s">
        <v>359</v>
      </c>
      <c r="D31" s="8" t="n">
        <v>16</v>
      </c>
      <c r="E31" s="31" t="n">
        <v>46217</v>
      </c>
      <c r="F31" s="31" t="n">
        <v>46244</v>
      </c>
      <c r="G31" s="8" t="n">
        <v>6</v>
      </c>
      <c r="H31" s="9" t="s">
        <v>370</v>
      </c>
    </row>
    <row r="32" customFormat="false" ht="15" hidden="false" customHeight="false" outlineLevel="0" collapsed="false">
      <c r="A32" s="9" t="s">
        <v>404</v>
      </c>
      <c r="B32" s="9" t="s">
        <v>388</v>
      </c>
      <c r="C32" s="9" t="s">
        <v>389</v>
      </c>
      <c r="D32" s="8" t="n">
        <v>5</v>
      </c>
      <c r="E32" s="31" t="n">
        <v>46218</v>
      </c>
      <c r="F32" s="31" t="n">
        <v>46246</v>
      </c>
      <c r="G32" s="8" t="n">
        <v>4</v>
      </c>
      <c r="H32" s="9" t="s">
        <v>390</v>
      </c>
    </row>
    <row r="33" customFormat="false" ht="15" hidden="false" customHeight="false" outlineLevel="0" collapsed="false">
      <c r="A33" s="9" t="s">
        <v>405</v>
      </c>
      <c r="B33" s="9" t="s">
        <v>368</v>
      </c>
      <c r="C33" s="9" t="s">
        <v>369</v>
      </c>
      <c r="D33" s="8" t="n">
        <v>38</v>
      </c>
      <c r="E33" s="31" t="n">
        <v>46219</v>
      </c>
      <c r="F33" s="31" t="n">
        <v>46246</v>
      </c>
      <c r="G33" s="8" t="n">
        <v>6</v>
      </c>
      <c r="H33" s="9" t="s">
        <v>370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5" min="4" style="0" width="40"/>
  </cols>
  <sheetData>
    <row r="1" customFormat="false" ht="21.75" hidden="false" customHeight="true" outlineLevel="0" collapsed="false">
      <c r="A1" s="6" t="s">
        <v>406</v>
      </c>
      <c r="B1" s="6"/>
      <c r="C1" s="6"/>
      <c r="D1" s="6"/>
      <c r="E1" s="6"/>
    </row>
    <row r="3" customFormat="false" ht="15" hidden="false" customHeight="false" outlineLevel="0" collapsed="false">
      <c r="A3" s="7" t="s">
        <v>407</v>
      </c>
      <c r="B3" s="7" t="s">
        <v>408</v>
      </c>
      <c r="C3" s="7" t="s">
        <v>409</v>
      </c>
      <c r="D3" s="7" t="s">
        <v>410</v>
      </c>
      <c r="E3" s="7" t="s">
        <v>411</v>
      </c>
    </row>
    <row r="4" customFormat="false" ht="23.85" hidden="false" customHeight="false" outlineLevel="0" collapsed="false">
      <c r="A4" s="8" t="n">
        <v>1</v>
      </c>
      <c r="B4" s="9" t="s">
        <v>412</v>
      </c>
      <c r="C4" s="9" t="s">
        <v>413</v>
      </c>
      <c r="D4" s="9" t="s">
        <v>414</v>
      </c>
      <c r="E4" s="9" t="s">
        <v>415</v>
      </c>
    </row>
    <row r="5" customFormat="false" ht="23.85" hidden="false" customHeight="false" outlineLevel="0" collapsed="false">
      <c r="A5" s="8" t="n">
        <v>2</v>
      </c>
      <c r="B5" s="9" t="s">
        <v>416</v>
      </c>
      <c r="C5" s="9" t="s">
        <v>417</v>
      </c>
      <c r="D5" s="9" t="s">
        <v>418</v>
      </c>
      <c r="E5" s="9" t="s">
        <v>419</v>
      </c>
    </row>
    <row r="6" customFormat="false" ht="23.85" hidden="false" customHeight="false" outlineLevel="0" collapsed="false">
      <c r="A6" s="8" t="n">
        <v>3</v>
      </c>
      <c r="B6" s="9" t="s">
        <v>420</v>
      </c>
      <c r="C6" s="9" t="s">
        <v>421</v>
      </c>
      <c r="D6" s="9" t="s">
        <v>422</v>
      </c>
      <c r="E6" s="9" t="s">
        <v>423</v>
      </c>
    </row>
    <row r="7" customFormat="false" ht="23.85" hidden="false" customHeight="false" outlineLevel="0" collapsed="false">
      <c r="A7" s="8" t="n">
        <v>4</v>
      </c>
      <c r="B7" s="9" t="s">
        <v>424</v>
      </c>
      <c r="C7" s="9" t="s">
        <v>425</v>
      </c>
      <c r="D7" s="9" t="s">
        <v>426</v>
      </c>
      <c r="E7" s="9" t="s">
        <v>427</v>
      </c>
    </row>
    <row r="8" customFormat="false" ht="23.85" hidden="false" customHeight="false" outlineLevel="0" collapsed="false">
      <c r="A8" s="8" t="n">
        <v>5</v>
      </c>
      <c r="B8" s="9" t="s">
        <v>428</v>
      </c>
      <c r="C8" s="9" t="s">
        <v>429</v>
      </c>
      <c r="D8" s="9" t="s">
        <v>430</v>
      </c>
      <c r="E8" s="9" t="s">
        <v>431</v>
      </c>
    </row>
    <row r="9" customFormat="false" ht="23.85" hidden="false" customHeight="false" outlineLevel="0" collapsed="false">
      <c r="A9" s="8" t="n">
        <v>6</v>
      </c>
      <c r="B9" s="9" t="s">
        <v>432</v>
      </c>
      <c r="C9" s="9" t="s">
        <v>433</v>
      </c>
      <c r="D9" s="9" t="s">
        <v>434</v>
      </c>
      <c r="E9" s="9" t="s">
        <v>435</v>
      </c>
    </row>
    <row r="10" customFormat="false" ht="23.85" hidden="false" customHeight="false" outlineLevel="0" collapsed="false">
      <c r="A10" s="8" t="n">
        <v>7</v>
      </c>
      <c r="B10" s="9" t="s">
        <v>436</v>
      </c>
      <c r="C10" s="9" t="s">
        <v>437</v>
      </c>
      <c r="D10" s="9" t="s">
        <v>438</v>
      </c>
      <c r="E10" s="9" t="s">
        <v>439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2026-07-21T12:21:41Z</dcterms:created>
  <dc:creator>openpyxl</dc:creator>
  <dc:description/>
  <dc:language>en-US</dc:language>
  <cp:lastModifiedBy/>
  <dcterms:modified xsi:type="dcterms:W3CDTF">2026-07-21T12:21:41Z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